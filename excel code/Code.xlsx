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h\excel code\"/>
    </mc:Choice>
  </mc:AlternateContent>
  <xr:revisionPtr revIDLastSave="0" documentId="13_ncr:1_{66ACFCE1-C076-4667-854C-B516BE101046}" xr6:coauthVersionLast="47" xr6:coauthVersionMax="47" xr10:uidLastSave="{00000000-0000-0000-0000-000000000000}"/>
  <bookViews>
    <workbookView xWindow="-108" yWindow="-108" windowWidth="23256" windowHeight="12456" activeTab="2" xr2:uid="{773DACD1-DCC1-4191-9930-61EF7A980EF1}"/>
  </bookViews>
  <sheets>
    <sheet name="Barrel" sheetId="1" r:id="rId1"/>
    <sheet name="small" sheetId="3" r:id="rId2"/>
    <sheet name="ORDER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2" i="4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" i="3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<sst xmlns="http://schemas.openxmlformats.org/spreadsheetml/2006/main" count="5143" uniqueCount="385">
  <si>
    <t>&lt;tr&gt;&lt;th&gt;</t>
  </si>
  <si>
    <t>Mat code</t>
  </si>
  <si>
    <t>&lt;/th&gt;</t>
  </si>
  <si>
    <t>Mat Description</t>
  </si>
  <si>
    <t>&lt;th&gt;</t>
  </si>
  <si>
    <t>Item Size in L</t>
  </si>
  <si>
    <t>RSP/L</t>
  </si>
  <si>
    <t>Disc/L</t>
  </si>
  <si>
    <t>Market Support /L</t>
  </si>
  <si>
    <t>MSS/L</t>
  </si>
  <si>
    <t>Invoice rate/L</t>
  </si>
  <si>
    <t>Invoice rate/Item</t>
  </si>
  <si>
    <t>&lt;/td&gt;&lt;/tr&gt;</t>
  </si>
  <si>
    <t>&lt;tr&gt; &lt;td&gt;</t>
  </si>
  <si>
    <t>&lt;/td&gt;&lt;td&gt;</t>
  </si>
  <si>
    <t>SERVO FUTURA SYNTH 0W-40-210 L BRL</t>
  </si>
  <si>
    <t>ECSTAR PETROL 0W-20-210 L</t>
  </si>
  <si>
    <t>ECSTAR DIESEL 5W-30-210 L</t>
  </si>
  <si>
    <t>MGDO 15W-40 - 210 L BRL</t>
  </si>
  <si>
    <t>MGO 5W-30-210 L BRL</t>
  </si>
  <si>
    <t>HY.SERVO ENGINE OIL 5W-30-210 L BRL</t>
  </si>
  <si>
    <t>HYUNDAI SERVO SUPERIOR 0W30-210 L</t>
  </si>
  <si>
    <t>HY SERVO PETROL EO SN PLUS-210 L</t>
  </si>
  <si>
    <t>HYUNDAI SERVO DEO ACEA C5-210 L</t>
  </si>
  <si>
    <t>HY.SERVO PRM.EO SM 5W-30-210 L BRL</t>
  </si>
  <si>
    <t>HYUNDAI SERVO SYNTH 0W-30 API SP/ ACEA C3</t>
  </si>
  <si>
    <t>SERVO SUPERIOR EO 0W30 ACEA C2-50 L</t>
  </si>
  <si>
    <t>SERVO SUPERIOR EO 0W20 ACEA C5-50 L</t>
  </si>
  <si>
    <t>SERVO SUPERIOR EO 5W30 ACEA A5/B5-50 L</t>
  </si>
  <si>
    <t>SERVO SUPERIOR EO 0W20 SN PLUS-50 L</t>
  </si>
  <si>
    <t>SERVO SUPERIOR EO 0W30 ACEA C2-210 L</t>
  </si>
  <si>
    <t>SERVO SUPERIOR EO 0W20 ACEA C5-210 L</t>
  </si>
  <si>
    <t>SERVO SUPERIOR EO 5W30 ACEA A5/B5-210 L</t>
  </si>
  <si>
    <t>SERVO SUPERIOR EO 0W20 SN PLUS-210 L</t>
  </si>
  <si>
    <t>SERVO MG HECTOR PETROL ENGINE OIL-210 L</t>
  </si>
  <si>
    <t>SERVO MG HECTOR DIESEL ENGINE OIL-210 L</t>
  </si>
  <si>
    <t>SERVO MG GLOSTER DIESEL EO-210 L</t>
  </si>
  <si>
    <t>SERVO ULTRA 10W - 210L BRL</t>
  </si>
  <si>
    <t>SERVO PRIDE 40 - 210L BRL</t>
  </si>
  <si>
    <t>SERVO PRIDE NXT CK4 15W40-210 L BRL</t>
  </si>
  <si>
    <t>SERVO FLEET SUPREME CI4 PLUS 15W-40- 210 L</t>
  </si>
  <si>
    <t>SERVO FLT CF4 15W-40-210 L BRL</t>
  </si>
  <si>
    <t>SERVO SUPER 20W-40 MG-210 L BRL</t>
  </si>
  <si>
    <t>SERVO PRIDE XL PLUS 15W40-50 L</t>
  </si>
  <si>
    <t>SERVO PRIDE XL PLUS 15W40-210 L BRL</t>
  </si>
  <si>
    <t>SERVO SUP.MULT.GRD 20W-40-210 L BRL</t>
  </si>
  <si>
    <t>SERVO PREMIUM CF-4 15W-40-50L HDPE DRUM</t>
  </si>
  <si>
    <t>SERVO PREMIUM CF-4 15W-40 - 210L BRL</t>
  </si>
  <si>
    <t>SERVO PRIDE XL 15W-40 - 210L BRL</t>
  </si>
  <si>
    <t>SERVO GEAR HP 90 - 210L BRL</t>
  </si>
  <si>
    <t>SERVO GEAR HP 140-210L BRL</t>
  </si>
  <si>
    <t>SERVO TRANSFLUID A - 210L BRL</t>
  </si>
  <si>
    <t>SERVO TRANSMISSION C4 SAE 30-210L BRL</t>
  </si>
  <si>
    <t>SERVO GEAR SUPER 80W-90 - 210L BRL</t>
  </si>
  <si>
    <t>SERVO GEAR SUPER 85W-140-210L BRL</t>
  </si>
  <si>
    <t xml:space="preserve">SERVO OIB OIL-26 L </t>
  </si>
  <si>
    <t>SERVO OIB OIL-210 L BRL</t>
  </si>
  <si>
    <t>SERVO AGROSPRAY T - 210L BRL</t>
  </si>
  <si>
    <t>SERVO 2T SUPREME-210 L BRL</t>
  </si>
  <si>
    <t>SERVO 2T SUPREME-210 L HD</t>
  </si>
  <si>
    <t>SERVO GREASE MP-182 KG DRM</t>
  </si>
  <si>
    <t>SERVOGREASE MP 3 - 182 KG DRM</t>
  </si>
  <si>
    <t>SERVO GEM RR 3-182 KG DRM</t>
  </si>
  <si>
    <t>SERVO LONG LIFE GREASE-182 KG DRM</t>
  </si>
  <si>
    <t>SERVOGREASE MIRACLE 3-182 KG</t>
  </si>
  <si>
    <t>SERVO KOOL PLUS -210L BRL</t>
  </si>
  <si>
    <t>SERVO BRAKE FLUID SUPER HD  - 210L BRL</t>
  </si>
  <si>
    <t>SERVOGEM EP 2-182 KG DRM</t>
  </si>
  <si>
    <t>SERVOHYDRASHAKTI 68-26 L</t>
  </si>
  <si>
    <t>SERVOSYSTEM 68 - 50L HDPE</t>
  </si>
  <si>
    <t>SERVOSYSTEM 68-26 L</t>
  </si>
  <si>
    <t>SERVOSYSTEM 32 - 210L BRL</t>
  </si>
  <si>
    <t>SERVOSYSTEM 46 - 210L BRL</t>
  </si>
  <si>
    <t>SERVOSYSTEM 68 - 210L BRL</t>
  </si>
  <si>
    <t>SERVOSYSTEM 100-210 L HD</t>
  </si>
  <si>
    <t>SERVOSYSTEM 220 - 210L BRL</t>
  </si>
  <si>
    <t>SERVOSYSTEM 320 - 210L BRL</t>
  </si>
  <si>
    <t>SERVOSYSTEM 150 - 210L BRL</t>
  </si>
  <si>
    <t>SERVOHYDREX TH 46-210L BRL</t>
  </si>
  <si>
    <t>SERVOSYSTEM HLP 32 - 210L BRL</t>
  </si>
  <si>
    <t>SERVOSYSTEM HLP 46 - 210L BRL</t>
  </si>
  <si>
    <t>SERVOSYSTEM HLP 68 - 210L BRL</t>
  </si>
  <si>
    <t>SERVOPRIME 46 - 210L BRL</t>
  </si>
  <si>
    <t>SERVOPRIME 57 - 210L BRL</t>
  </si>
  <si>
    <t>SERVOMESH SP 320 - 210L BRL</t>
  </si>
  <si>
    <t>SERVOMESH SP 220 - 210L BRL</t>
  </si>
  <si>
    <t>SERVOFRIZ NH 68 - 210 L BRL</t>
  </si>
  <si>
    <t>SERVOTHERM SPECIAL-210L BRL</t>
  </si>
  <si>
    <t>SERVOTHERM S SPECIAL-210 L BRL</t>
  </si>
  <si>
    <t>SERVOCUT S - 210L BRL</t>
  </si>
  <si>
    <t>SERVOELECTRA - 210L BRL</t>
  </si>
  <si>
    <t>IOC CLEARBLUE-210 L HD</t>
  </si>
  <si>
    <t>MRP/Pc</t>
  </si>
  <si>
    <t>DLP/Pc</t>
  </si>
  <si>
    <t>SUMMER/BONANZA SCHEME /L</t>
  </si>
  <si>
    <t>Invoice rate/ Item</t>
  </si>
  <si>
    <t>Margin/ Item</t>
  </si>
  <si>
    <t>Margin/L</t>
  </si>
  <si>
    <t>Margin %</t>
  </si>
  <si>
    <t>Per case</t>
  </si>
  <si>
    <t>MGGO 80W-90 - 4 X 2.1 L</t>
  </si>
  <si>
    <t>SERVO FUTURA SYNTH 0W-40-20 X 1 L</t>
  </si>
  <si>
    <t>SERVO FUTURA SYNTH 0W-40-4 x 4 L</t>
  </si>
  <si>
    <t>ECSTAR PETROL 0W-20-4 X 3.5 L</t>
  </si>
  <si>
    <t>ECSTAR DIESEL 5W-30-4 X 3.5 L</t>
  </si>
  <si>
    <t>MGO 20W-40 - 20 X 1 L</t>
  </si>
  <si>
    <t>MGO 20W-40 - 4 X 3 L</t>
  </si>
  <si>
    <t>MGDO 15W-40 - 4 X 3.5 L</t>
  </si>
  <si>
    <t>MGO 5W-30-4 X 3 L</t>
  </si>
  <si>
    <t>MGO 5W-30-4x3.5L HDPE</t>
  </si>
  <si>
    <t>HYUNDAI S.GEAR OIL 75W-85-4X2.5L-HDPE</t>
  </si>
  <si>
    <t>HYUNDAI SERVO BRAKE OIL - 20x1/2L - HDPE</t>
  </si>
  <si>
    <t>HY SERVO SYNTH 0W-30 SP/C3-4 X 3.5 L</t>
  </si>
  <si>
    <t>HY.SERVO SYNTH PLUS 5W-30-4x3.5L HDPE</t>
  </si>
  <si>
    <t>HY.SERVO ENGINE OIL 5W-30-4x3.5L</t>
  </si>
  <si>
    <t>HYUNDAI SERVO STEERING OIL-20x1L-HDPE-NE</t>
  </si>
  <si>
    <t>HYUNDAI SERVO SUPERIOR 0W30-4 X 4 L</t>
  </si>
  <si>
    <t>HY SERVO PETROL EO SN PLUS-4 X 3.5 L</t>
  </si>
  <si>
    <t>HY SERVO PETROL EO SN PLUS-4 X 4 L</t>
  </si>
  <si>
    <t>HYUNDAI SERVO DEO ACEA C5-4 X 5 L</t>
  </si>
  <si>
    <t>HY.SERVO PRM.EO SM 5W-30-4X3 L</t>
  </si>
  <si>
    <t>HYUNDAI SERVO COOLANT 50-20 X 1 L</t>
  </si>
  <si>
    <t>HYUNDAI SERVO COOLANT LL-20 X 1 L</t>
  </si>
  <si>
    <t>HYUNDAI SERVO CRDi PREM.ENG.OIL 4X5L-HDP</t>
  </si>
  <si>
    <t>HYU SERVO BRAKE FLUID DOT 4 LV-20 X 1 L</t>
  </si>
  <si>
    <t>SERVO MG R AXLE REDUCER FLUID-20 X 1 L</t>
  </si>
  <si>
    <t>SERVO MG HECTOR DIESEL ENGINE OIL-4 X5 L</t>
  </si>
  <si>
    <t>SERVO MG HECTOR PETROL EO-4 X 4 L</t>
  </si>
  <si>
    <t>SERVO MG GLOSTER DIESEL EO-4 X 5 L LUBE</t>
  </si>
  <si>
    <t>SERVO PRIDE ALT PLUS 15W-40-11 L</t>
  </si>
  <si>
    <t>SERVO PRIDE ALT PLUS 15W-40-16 L</t>
  </si>
  <si>
    <t>SERVO PRIDE ALT PLUS 15W-40 -20 X 1 L</t>
  </si>
  <si>
    <t>TRU4 KRAAFT-10 X 0.9 L</t>
  </si>
  <si>
    <t>TRU4 KRAAFT-10 X 1 L</t>
  </si>
  <si>
    <t>SERVO HONDA JOSH-20 X 0.9 L</t>
  </si>
  <si>
    <t>SERVO HONDA JOSH-20 X 1 L</t>
  </si>
  <si>
    <t>SERVO HONDA SCOOTONXT-20 X 0.8 L</t>
  </si>
  <si>
    <t>SERVO PRIDE 40 - 20x1L - HDPE</t>
  </si>
  <si>
    <t>SERVO PRIDE 40 - 4x5L - HDPE</t>
  </si>
  <si>
    <t>SERVO PRIDE 40 - 10L BUC</t>
  </si>
  <si>
    <t>SERVO PRIDE 40-20L BUC</t>
  </si>
  <si>
    <t>SERVO GAS ENGINE OIL - 20x1L - HDPE</t>
  </si>
  <si>
    <t>SERVO GAS ENGINE OIL-4X3L-HDPE</t>
  </si>
  <si>
    <t>SERVO GAS ENGINE OIL-20 X 1 L PROMO</t>
  </si>
  <si>
    <t>SERVO RAFTAAR-15 L</t>
  </si>
  <si>
    <t>SERVO SUPERMILE 10W-30-20 X 1 L</t>
  </si>
  <si>
    <t>SERVO SUPERMILE 10W-30-4 X 5 L PROMO</t>
  </si>
  <si>
    <t>SERVO SUPERMILE 10W-30-4 X 6 L</t>
  </si>
  <si>
    <t>SERVO SUPERMILE 10W-30-7 L PROMO</t>
  </si>
  <si>
    <t>SERVO SUPERMILE PLUS 5W-30-20 X 1 L</t>
  </si>
  <si>
    <t>SERVO SUPERMILE PLUS 5W-30-4 X 5 L</t>
  </si>
  <si>
    <t>SERVO SUPERMILE PLUS 5W-30-4 X 5 L PROMO</t>
  </si>
  <si>
    <t>SERVO SUPERMILE PLUS 5W-30-7L</t>
  </si>
  <si>
    <t>SERVO SUPERMILE PLUS 5W-30-7 L PROMO</t>
  </si>
  <si>
    <t>SERVO PRIDE NXT CK4 10W-30-15 L</t>
  </si>
  <si>
    <t>SERVO PRIDE NXT CK4 15W-40-20 X 1 L</t>
  </si>
  <si>
    <t>SERVO PRIDENXT 15W40-20 X 1 L PROMO</t>
  </si>
  <si>
    <t>SERVO PRIDE NXT CK4 15W-40-7.5 L PROMO</t>
  </si>
  <si>
    <t>SERVO PRIDE NXT CK4 15W-40-15 L PROMO</t>
  </si>
  <si>
    <t>S FLEET SUPREME CI4PLUS 15W-40-20 X 1 L</t>
  </si>
  <si>
    <t>S FLEET SUPREME CI4PLUS 15W-40-7.5 L</t>
  </si>
  <si>
    <t>SERVO FLEET SUPREME CI4 PLUS 15W-40-15 L</t>
  </si>
  <si>
    <t>SERVO FLT CF4 15W-40-20 X 1 L</t>
  </si>
  <si>
    <t>SERVO FLT CF4 15W-40-4 X 3 L</t>
  </si>
  <si>
    <t>SERVO FLT CF4 15W-40-4 X 5 L</t>
  </si>
  <si>
    <t>SERVO FLT CF4 15W-40-7.5 L</t>
  </si>
  <si>
    <t>SERVO FLT CF4 15W-40-15 L</t>
  </si>
  <si>
    <t>SERVO SUPER 20W-40 MG-40X1/2L</t>
  </si>
  <si>
    <t>SERVO SUPER 20W-40 MG-20 X 1 L</t>
  </si>
  <si>
    <t>SERVO SUPER 20W-40 MG-4x5L - HDPE</t>
  </si>
  <si>
    <t>SERVO SUPER 20W-40 MG-10 L</t>
  </si>
  <si>
    <t>SERVO SUPER 20W-40 MG-7.5 L</t>
  </si>
  <si>
    <t>SERVO SUPER 20W-40 MG-20 L</t>
  </si>
  <si>
    <t>SERVO PRIDE XL PLUS 15W40-20 X 1 L</t>
  </si>
  <si>
    <t>SERVO PRIDE XL PLUS 15W40-4X3 L</t>
  </si>
  <si>
    <t>SERVO PRIDE XL PLUS 15W40-4x5L - HDPE</t>
  </si>
  <si>
    <t>SERVO PRIDE XL PLUS 15W40-10L PROMO</t>
  </si>
  <si>
    <t>SERVO PRIDE XL PLUS 15W40-7.5L PROMO</t>
  </si>
  <si>
    <t>SERVO PRIDE XL PLUS 15W40-15L PROMO</t>
  </si>
  <si>
    <t>SERVO PRIDE XL PLUS 15W40-20 L</t>
  </si>
  <si>
    <t>SERVO SUP.MULT.GRD 20W-40-40X1/2L</t>
  </si>
  <si>
    <t>SERVO SUP.MULT.GRD 20W-40-20 X 1 L</t>
  </si>
  <si>
    <t>SERVO SUP.MULT.GRD 20W-40-4x5L - HDPE</t>
  </si>
  <si>
    <t>SERVO SUP.MULT.GRD 20W-40-10 L</t>
  </si>
  <si>
    <t>SERVO SUP.MULT.GRD 20W-40-7.5 L</t>
  </si>
  <si>
    <t>SERVO SUP.MULT.GRD 20W-40-20 L</t>
  </si>
  <si>
    <t>SERVO AUTORIKSHAW OIL 20W-40-4X2.5HDPE</t>
  </si>
  <si>
    <t>SERVO CHHAKADA ENG OIL 20W-40-20X1.2L LI</t>
  </si>
  <si>
    <t>SERVO PRIDE TC 15W40 - 20X1L-HDPE</t>
  </si>
  <si>
    <t>SERVO PRIDE TC 15W-40 - 4 X 3 L HDPE</t>
  </si>
  <si>
    <t>SERVO PRIDE TC 15W40-4X3 L PROMO</t>
  </si>
  <si>
    <t>SERVO PRIDE TC 15W-40- 4 X 5L</t>
  </si>
  <si>
    <t>SERVO PRIDE TC 15W40-10L PROMO</t>
  </si>
  <si>
    <t>SERVO PRIDE TC 15W-40 - 10 L BUC</t>
  </si>
  <si>
    <t>SERVO PRIDE TC 15W40-7.5L PROMO</t>
  </si>
  <si>
    <t>SERVO PRIDE TC 15W40 - 7.5L BUC</t>
  </si>
  <si>
    <t>SERVO PRIDE TC 15W40-15L PROMO</t>
  </si>
  <si>
    <t>SERVO PRIDE TC 15W40 - 20L BUC</t>
  </si>
  <si>
    <t>SERVO PREMIUM CF-4 15W-40-40X1/2L-HDPE</t>
  </si>
  <si>
    <t>SERVO PREMIUM CF-4 15W-40-20X1L-HDPE</t>
  </si>
  <si>
    <t>SERVO PREMIUM CF-4 15W-40-4X3L-HDPE</t>
  </si>
  <si>
    <t>SERVO PREMIUM CF-4 15W-40-4X5L-HDPE</t>
  </si>
  <si>
    <t>SERVO PREMIUM CF-4 15W-40-10L BUC</t>
  </si>
  <si>
    <t>SERVO PREMIUM CF-4 15W-40-7.5 L</t>
  </si>
  <si>
    <t>SERVO PREMIUM CF-4 15W-40-15 L</t>
  </si>
  <si>
    <t>SERVO PREMIUM CF 4 15W 40-20L BUC</t>
  </si>
  <si>
    <t>SERVO GEAR HP 90-40X1/2L-HDPE</t>
  </si>
  <si>
    <t>SERVO GEAR HP 90-20X1L-HDPE</t>
  </si>
  <si>
    <t>SERVO GEAR HP 90 - 4x5L - HDPE</t>
  </si>
  <si>
    <t>SERVO GEAR HP 90-20L BUC</t>
  </si>
  <si>
    <t>SERVO GEAR HP 140 - 20x1L - HDPE</t>
  </si>
  <si>
    <t>SERVO GEAR HP 140 - 4x5L - HDPE</t>
  </si>
  <si>
    <t>SERVO GEAR HP 140-20L BUC</t>
  </si>
  <si>
    <t>SERVO TRANSFLUID A-20X1/2 L</t>
  </si>
  <si>
    <t>SERVO TRANSFLUID A-20X1L-HDPE</t>
  </si>
  <si>
    <t>SERVO TRANSFLUID A-4X5L-HDPE</t>
  </si>
  <si>
    <t>SERVO GEAR SUPER 80W-90 - 20 X 1 L HDPE</t>
  </si>
  <si>
    <t>SERVO GEAR SUPER 80W-90 - 4 X 5 L HDPE</t>
  </si>
  <si>
    <t>SERVO GEAR SUPER 80W-90-4 X 5 L PROMO</t>
  </si>
  <si>
    <t>SERVO GEAR SUPER 80W-90-7.5 L</t>
  </si>
  <si>
    <t>SERVO GEAR SUPER 80W-90-20 L PROMO</t>
  </si>
  <si>
    <t>SERVO GEAR SUPER 85W-140 - 20 X 1 L HDPE</t>
  </si>
  <si>
    <t>SERVO GEAR SUPER 85W-140-4 X 5 L PROMO</t>
  </si>
  <si>
    <t>SERVO GEAR SUPER 85W-140-20 L BUC</t>
  </si>
  <si>
    <t>SERVO GEAR SUPER 85W-140-20 L PROMO</t>
  </si>
  <si>
    <t>SERVO PUMP SET OIL 20W-40 - 4x3.5L</t>
  </si>
  <si>
    <t>SERVO SUPER PUMP SO 40-4x3.5L HDPE</t>
  </si>
  <si>
    <t>SERVO OIB OIL-20 X 1 L</t>
  </si>
  <si>
    <t>SERVO OIB OIL-4x5L - HDPE</t>
  </si>
  <si>
    <t>SERVO OIB OIL -20L PROMO</t>
  </si>
  <si>
    <t>SERVO TILLER SUPER 20W-40-4 X 3.5 L</t>
  </si>
  <si>
    <t>SERVO TRCTR OIL PLS 15W40-7.5 L</t>
  </si>
  <si>
    <t>SERVO TRCTR OIL PLS 15W40-8.5 L BUC</t>
  </si>
  <si>
    <t>SERVO TRACTOR OIL MG 20W-40-7.5L PROMO</t>
  </si>
  <si>
    <t>SERVO TRACTOR GREEN-7.5 L</t>
  </si>
  <si>
    <t>SERVO TRACTOR GREEN-8.5 L</t>
  </si>
  <si>
    <t>SERVO AGROSPRAY T - 20 L BUC</t>
  </si>
  <si>
    <t>SERVO ORCHARD SPRAY OIL-4x5L - HDPE</t>
  </si>
  <si>
    <t>SERVO ORCHARD SPRAY OIL - 10 L BUC</t>
  </si>
  <si>
    <t>SERVO ORCHARD SPRAY OIL - 20 L BUC</t>
  </si>
  <si>
    <t xml:space="preserve">SERVO MKM TRACTOR OIL-20 X 1 L </t>
  </si>
  <si>
    <t>SERVO MKM TRACTOR OIL-7.5 L</t>
  </si>
  <si>
    <t>SERVO 4T GREEN-20 X 0.9 L</t>
  </si>
  <si>
    <t>SERVO 4T GREEN-20 X 1 L</t>
  </si>
  <si>
    <t>SERVO HYPERSPORT F5-10 X 1 L (New MRP)</t>
  </si>
  <si>
    <t>SERVO HYPERSPORT F5-10 X 1 L PROMO  (New MRP)</t>
  </si>
  <si>
    <t>SERVO HYPERSPORT F5-10 X 1.2 L PROMO  (New MRP)</t>
  </si>
  <si>
    <t>SERVO HYPERSPORT F5-4 X 2.5 L  (New MRP)</t>
  </si>
  <si>
    <t>SERVO HYPERSPORT F5-4 X 2.8 L  (New MRP)</t>
  </si>
  <si>
    <t>SERVO 4T XTRA-20 X 0.9 L</t>
  </si>
  <si>
    <t>SERVO 4T XTRA-20 X 1 L</t>
  </si>
  <si>
    <t>SERVO 4T XTRA-20 X 1 L PROMO</t>
  </si>
  <si>
    <t>SERVO 4T XTRA-20 X 0.9 L PROMO</t>
  </si>
  <si>
    <t>SERVO 4T XTRA 10W-30-20 X 0.9 L</t>
  </si>
  <si>
    <t>SERVO 4T XTRA 10W-30-20 X 1 L</t>
  </si>
  <si>
    <t>SERVO 4T XTRA 10W-30-20 X 1 L PROMO</t>
  </si>
  <si>
    <t>SERVO 4T XTRA 10W-30-20 X 0.9 L PROMO</t>
  </si>
  <si>
    <t xml:space="preserve">SERVO 4T XTRA 20W-50-20 X 0.9 L PROMO </t>
  </si>
  <si>
    <t>SERVO 4T XTRA 20W-50-20 X 1 L PROMO</t>
  </si>
  <si>
    <t>SERVO SCOOTOMATIC XTRA 5W-30 - 20 X 0.6 L</t>
  </si>
  <si>
    <t>SERVO SCOOTOMATIC 4ST 10W-30-20 X 0.8 L</t>
  </si>
  <si>
    <t>SERVO 4T-20x0.9 L CAR</t>
  </si>
  <si>
    <t>SERVO 4T-20X1L-HDPE</t>
  </si>
  <si>
    <t>SERVO 4T - 20 X 1 L HDPE PROMO</t>
  </si>
  <si>
    <t>SERVO 4T - 20 X 0.9 L HDPE PROMO</t>
  </si>
  <si>
    <t>SERVO 4T 20W-50-20 X 1 L</t>
  </si>
  <si>
    <t>SERVO 4T 20W-50-20 X 1.2 L</t>
  </si>
  <si>
    <t>SERVO 4T 20W-50-20 X 1 L PROMO</t>
  </si>
  <si>
    <t>SERVO 4T ZOOM 10W-30 - 20 X 0.9 L HDPE</t>
  </si>
  <si>
    <t>SERVO 4T ZOOM 10W-30-20 X 1 L PROMO</t>
  </si>
  <si>
    <t>SERVO 4T ZOOM 10W-30-20X0.9 L HDPE PROMO</t>
  </si>
  <si>
    <t>SERVO 4T 10W-30-20 X 1 L PROMO</t>
  </si>
  <si>
    <t>SERVO 4T 10W-30-20 X 0.9 L PROMO</t>
  </si>
  <si>
    <t>SERVO 4T SYNTH-20 X 1 L</t>
  </si>
  <si>
    <t>SERVO 4T HD-4 X 2.5 L</t>
  </si>
  <si>
    <t>SERVO 4T HD-20 X 1.2 L</t>
  </si>
  <si>
    <t>SERVO FUTURA G PLUS 5W-30-4 X 3 L PROMO</t>
  </si>
  <si>
    <t>SERVO FUTURA G PLUS 5W-30-4 X 3.5 L</t>
  </si>
  <si>
    <t>SERVO FUTURA G PLUS 5W-30-4X3.5 L PROMO</t>
  </si>
  <si>
    <t>SERVO FUTURA G PLUS 5W-30-20 X 1 L</t>
  </si>
  <si>
    <t>SERVO GREENMILE-4 X 3.5 L</t>
  </si>
  <si>
    <t>SERVO FUTURA NXT 0W-16-4 X 3.5 L</t>
  </si>
  <si>
    <t>SERVO FUTURA NXT 0W-16-4X3.5 L PROMO</t>
  </si>
  <si>
    <t>SERVO BLACKBIRD X-10 X 1 L HDPE</t>
  </si>
  <si>
    <t>SERVO BLACKBIRD X-4X3.5 L PROMO</t>
  </si>
  <si>
    <t>SERVO BLACKBIRD X-4 x 4 L PROMO</t>
  </si>
  <si>
    <t>SERVO 2T SUPREME-600 X 20 ML</t>
  </si>
  <si>
    <t>SERVO 2T SUPREME(JFC)-300x40ML - POU</t>
  </si>
  <si>
    <t>SERVO 2T SUPREME (JFC) - 200X60ML - POU</t>
  </si>
  <si>
    <t>SERVO 2T SUPREME-20X1/4 L</t>
  </si>
  <si>
    <t>SERVO 2T SUPREME-20X1/2 L</t>
  </si>
  <si>
    <t>SERVO 2T SUPREME-20 X 1 L</t>
  </si>
  <si>
    <t>SERVO GREASE MP-20 KG BUC</t>
  </si>
  <si>
    <t>SERVO GREASE MP 3 - 20 X 1/2 KG CTN</t>
  </si>
  <si>
    <t>SERVO GREASE MP 3 - 10 X 1 KG CTN</t>
  </si>
  <si>
    <t>SERVOGREASE MP 3-6X2 KG</t>
  </si>
  <si>
    <t>SERVOGREASE MP 3-4X3 KG</t>
  </si>
  <si>
    <t>SERVOGREASE MP 3 - 5 KG BUC</t>
  </si>
  <si>
    <t>SERVOGREASE MP 3-2 X 5 KG</t>
  </si>
  <si>
    <t>SERVOGREASE MP 3 -20 KG BUC</t>
  </si>
  <si>
    <t>SERVO GEM RR 3 - 20 X 1/2 KG CTN</t>
  </si>
  <si>
    <t>SERVO GEM RR 3 - 10 X 1 KG CTN</t>
  </si>
  <si>
    <t>SERVO GEM RR 3-6X2 KG TUB</t>
  </si>
  <si>
    <t>SERVO GEM RR 3-4X3 KG</t>
  </si>
  <si>
    <t>SERVO GEM RR 3 - 20 KG. BUC</t>
  </si>
  <si>
    <t>SERVO LONG LIFE GREASE-20 X 1/2 KG</t>
  </si>
  <si>
    <t>SERVO LONG LIFE GREASE-10X1 KG TUB</t>
  </si>
  <si>
    <t>SERVO LONG LIFE GREASE-6X2 KG TUB</t>
  </si>
  <si>
    <t>SERVO LONG LIFE GREASE-4X3 KG TUB</t>
  </si>
  <si>
    <t>SERVO LONG LIFE GREASE-2 X 5 KG</t>
  </si>
  <si>
    <t>SERVO LONG LIFE GREASE-20 KG</t>
  </si>
  <si>
    <t>SERVO LONG LIFE GREASE-7 KG</t>
  </si>
  <si>
    <t>SERVO LONG LIFE GREASE-10 KG BUC</t>
  </si>
  <si>
    <t>SERVOGREASE MIRACLE 3-20 X 1/2 KG</t>
  </si>
  <si>
    <t>SERVOGREASE MIRACLE 3-10 X 1 KG</t>
  </si>
  <si>
    <t>SERVOGREASE MIRACLE 3-6 X 2 KG</t>
  </si>
  <si>
    <t>SERVOGREASE MIRACLE 3-4 X 3 KG</t>
  </si>
  <si>
    <t xml:space="preserve">SERVOGREASE MIRACLE 3-5 KG </t>
  </si>
  <si>
    <t xml:space="preserve">SERVOGREASE MIRACLE 3-7 KG </t>
  </si>
  <si>
    <t xml:space="preserve">SERVOGREASE MIRACLE 3-10 KG BUC </t>
  </si>
  <si>
    <t>SERVOGREASE MIRACLE 3-20 KG</t>
  </si>
  <si>
    <t>SERVOGEM EP 2-20 KG BUC</t>
  </si>
  <si>
    <t>SERVO BRAKE FLUID SUPER HD - 20X1/4L-HDP</t>
  </si>
  <si>
    <t>SERVO BRAKE FLUID SUPER HD -20X1/2L-HDPE</t>
  </si>
  <si>
    <t>SERVO TROPIKOOL-20 X 1 L</t>
  </si>
  <si>
    <t>SERVO TROPIKOOL READY-20 X 1 L</t>
  </si>
  <si>
    <t>SERVO KOOL PLUS - 20X1/4L-HDPE</t>
  </si>
  <si>
    <t>SERVO KOOL PLUS-20X1/2L-HDPE</t>
  </si>
  <si>
    <t>SERVO KOOL PLUS-20X1L-HDPE</t>
  </si>
  <si>
    <t>SERVO KOOL PLUS-10X1L-HDPE</t>
  </si>
  <si>
    <t>SERVO KOOL READY-10X1L-HDPE</t>
  </si>
  <si>
    <t>SERVO BRAKE FLUID DOT 4-20 X 1/4 L</t>
  </si>
  <si>
    <t>SERVO BRAKE FLUID DOT 4-20 X 1/2 L</t>
  </si>
  <si>
    <t>SERVO KOOL READY-20X1L-HDPE</t>
  </si>
  <si>
    <t>SERVOSYSTEM 32-20L BUC</t>
  </si>
  <si>
    <t>SERVOSYSTEM 46 - 20L BUC</t>
  </si>
  <si>
    <t>SERVOSYSTEM 68-4x5L - HDPE</t>
  </si>
  <si>
    <t>SERVOSYSTEM 68-20L BUC</t>
  </si>
  <si>
    <t>SERVOSYSTEM 220-20 L</t>
  </si>
  <si>
    <t>SERVOMESH SP 320-20 L</t>
  </si>
  <si>
    <t>SERVOMESH SP 220-20 L</t>
  </si>
  <si>
    <t>SERVOHYDRASHAKTI 68-20 L</t>
  </si>
  <si>
    <t>SERVO EXCAVATOR TH 46 20 L</t>
  </si>
  <si>
    <t>SERVOHYDREX TH 46 PLUS-20 L</t>
  </si>
  <si>
    <t>SERVOHYDREX TH 46-20L BUC</t>
  </si>
  <si>
    <t>SERVOSYSTEM HLP 68-20L BUC</t>
  </si>
  <si>
    <t>SERVOCUT S - 20L BUC</t>
  </si>
  <si>
    <t>SERVOELECTRA-20 L</t>
  </si>
  <si>
    <t>MAHINDRA EM BRAKEFLUID-20 X 1 L</t>
  </si>
  <si>
    <t>MAHINDRA EM HYDRAULIC OIL-20 L</t>
  </si>
  <si>
    <t>MAHINDRA EM TRNSMISON OIL-10 L</t>
  </si>
  <si>
    <t>MAHINDRA EM TRNSMISON OIL-15 L</t>
  </si>
  <si>
    <t>MAHINDRA EM GREASE-5 KG</t>
  </si>
  <si>
    <t>MAHINDRA EM GREASE-20 KG</t>
  </si>
  <si>
    <t>MAHINDRA EM REAR AXLE OIL-18 L</t>
  </si>
  <si>
    <t>IOC CLEARBLUE-10 L</t>
  </si>
  <si>
    <t>IOC CLEARBLUE-20 L</t>
  </si>
  <si>
    <t>SERVO ECO 4T-20 X 0.9 L</t>
  </si>
  <si>
    <t>SERVO ECO 4T-20 X 1 L</t>
  </si>
  <si>
    <t>SERVO ECO CF-4 15W-40-20 X 1 L</t>
  </si>
  <si>
    <t>SERVO ECO CF-4 15W-40-4 X 3 L</t>
  </si>
  <si>
    <t>SERVO ECO CF-4 15W-40-4 X 5 L</t>
  </si>
  <si>
    <t>SERVO ECO CF-4 15W-40-10 L</t>
  </si>
  <si>
    <t>SERVO ECO CF-4 15W-40-7.5 L</t>
  </si>
  <si>
    <t>SERVO ECO CF-4 15W-40-15 L</t>
  </si>
  <si>
    <t>SERVO ECO CF-4 15W-40-20 L</t>
  </si>
  <si>
    <t>SERVO ECO CI4 PLUS 15W-40-20 X 1 L</t>
  </si>
  <si>
    <t>SERVO ECO CI4 PLUS 15W-40-4 X 5 L</t>
  </si>
  <si>
    <t>SERVO ECO CI4 PLUS 15W-40-10 L</t>
  </si>
  <si>
    <t>SERVO ECO CI4 PLUS 15W-40-7.5 L</t>
  </si>
  <si>
    <t>SERVO ECO CI4 PLUS 15W-40-15 L</t>
  </si>
  <si>
    <t>SERVO ECO TRACTOR OIL-20 X 1 L</t>
  </si>
  <si>
    <t>SERVO ECO TRACTOR OIL-7.5 L</t>
  </si>
  <si>
    <t>{ name: "</t>
  </si>
  <si>
    <t>},</t>
  </si>
  <si>
    <t>", code:"</t>
  </si>
  <si>
    <t>", uom:</t>
  </si>
  <si>
    <t>SERVO FUTURA NXT 0W-16-4X3.5 L PROMO LUBE</t>
  </si>
  <si>
    <t>ECSTAR PETROL 0W-16 FE-210 L</t>
  </si>
  <si>
    <t>S FLEET SUPREME CI4PLUS 15W-40-210 L</t>
  </si>
  <si>
    <t>SERVO FLEET CF4 15W-40 - 20 X 1 L</t>
  </si>
  <si>
    <t>SERVO GREENMILE-4 X 3.5 L LUBE</t>
  </si>
  <si>
    <t>SERVO PREMIUM CF-4 15W-40-4x5L - PROMO</t>
  </si>
  <si>
    <t>SERVOSYSTEM 68-210 L HD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</si>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</sst>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8596-4046-4EE7-BA93-151475B7BD54}">
  <dimension ref="A2:T79"/>
  <sheetViews>
    <sheetView topLeftCell="B1" workbookViewId="0">
      <selection activeCell="T2" sqref="T2"/>
    </sheetView>
  </sheetViews>
  <sheetFormatPr defaultRowHeight="14.4" x14ac:dyDescent="0.3"/>
  <cols>
    <col min="1" max="3" width="8.88671875" style="1"/>
    <col min="4" max="4" width="45.109375" style="1" bestFit="1" customWidth="1"/>
    <col min="5" max="16384" width="8.88671875" style="1"/>
  </cols>
  <sheetData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</v>
      </c>
      <c r="H2" s="1" t="s">
        <v>6</v>
      </c>
      <c r="I2" s="1" t="s">
        <v>4</v>
      </c>
      <c r="J2" s="1" t="s">
        <v>7</v>
      </c>
      <c r="K2" s="1" t="s">
        <v>2</v>
      </c>
      <c r="L2" s="1" t="s">
        <v>8</v>
      </c>
      <c r="M2" s="1" t="s">
        <v>4</v>
      </c>
      <c r="N2" s="1" t="s">
        <v>9</v>
      </c>
      <c r="O2" s="1" t="s">
        <v>2</v>
      </c>
      <c r="P2" s="1" t="s">
        <v>10</v>
      </c>
      <c r="Q2" s="1" t="s">
        <v>4</v>
      </c>
      <c r="R2" s="1" t="s">
        <v>11</v>
      </c>
      <c r="S2" s="1" t="s">
        <v>12</v>
      </c>
      <c r="T2" s="1" t="str">
        <f>CONCATENATE(A2,B2,C2,D2,E2,F2,G2,H2,I2,J2,K2,L2,M2,N2,O2,P2,Q2,R2,S2)</f>
        <v>&lt;tr&gt;&lt;th&gt;Mat code&lt;/th&gt;Mat Description&lt;th&gt;Item Size in L&lt;/th&gt;RSP/L&lt;th&gt;Disc/L&lt;/th&gt;Market Support /L&lt;th&gt;MSS/L&lt;/th&gt;Invoice rate/L&lt;th&gt;Invoice rate/Item&lt;/td&gt;&lt;/tr&gt;</v>
      </c>
    </row>
    <row r="3" spans="1:20" x14ac:dyDescent="0.3">
      <c r="A3" s="1" t="s">
        <v>13</v>
      </c>
      <c r="B3" s="1">
        <v>2960401</v>
      </c>
      <c r="C3" s="1" t="s">
        <v>14</v>
      </c>
      <c r="D3" s="1" t="s">
        <v>15</v>
      </c>
      <c r="E3" s="1" t="s">
        <v>14</v>
      </c>
      <c r="F3" s="1">
        <v>210</v>
      </c>
      <c r="G3" s="1" t="s">
        <v>14</v>
      </c>
      <c r="H3" s="1">
        <v>595</v>
      </c>
      <c r="I3" s="1" t="s">
        <v>14</v>
      </c>
      <c r="J3" s="1">
        <v>0</v>
      </c>
      <c r="K3" s="1" t="s">
        <v>14</v>
      </c>
      <c r="L3" s="1">
        <v>0</v>
      </c>
      <c r="M3" s="1" t="s">
        <v>14</v>
      </c>
      <c r="N3" s="1">
        <v>0</v>
      </c>
      <c r="O3" s="1" t="s">
        <v>14</v>
      </c>
      <c r="P3" s="1">
        <v>702.09999999999991</v>
      </c>
      <c r="Q3" s="1" t="s">
        <v>14</v>
      </c>
      <c r="R3" s="1">
        <v>147440.99999999997</v>
      </c>
      <c r="S3" s="1" t="s">
        <v>12</v>
      </c>
      <c r="T3" s="1" t="str">
        <f>CONCATENATE(A3,B3,C3,D3,E3,F3,G3,H3,I3,J3,K3,L3,M3,N3,O3,P3,Q3,R3,S3)</f>
        <v>&lt;tr&gt; &lt;td&gt;2960401&lt;/td&gt;&lt;td&gt;SERVO FUTURA SYNTH 0W-40-210 L BRL&lt;/td&gt;&lt;td&gt;210&lt;/td&gt;&lt;td&gt;595&lt;/td&gt;&lt;td&gt;0&lt;/td&gt;&lt;td&gt;0&lt;/td&gt;&lt;td&gt;0&lt;/td&gt;&lt;td&gt;702.1&lt;/td&gt;&lt;td&gt;147441&lt;/td&gt;&lt;/tr&gt;</v>
      </c>
    </row>
    <row r="4" spans="1:20" x14ac:dyDescent="0.3">
      <c r="A4" s="1" t="s">
        <v>13</v>
      </c>
      <c r="B4" s="1">
        <v>7427401</v>
      </c>
      <c r="C4" s="1" t="s">
        <v>14</v>
      </c>
      <c r="D4" s="1" t="s">
        <v>16</v>
      </c>
      <c r="E4" s="1" t="s">
        <v>14</v>
      </c>
      <c r="F4" s="1">
        <v>210</v>
      </c>
      <c r="G4" s="1" t="s">
        <v>14</v>
      </c>
      <c r="H4" s="1">
        <v>300</v>
      </c>
      <c r="I4" s="1" t="s">
        <v>14</v>
      </c>
      <c r="J4" s="1">
        <v>0</v>
      </c>
      <c r="K4" s="1" t="s">
        <v>14</v>
      </c>
      <c r="L4" s="1">
        <v>0</v>
      </c>
      <c r="M4" s="1" t="s">
        <v>14</v>
      </c>
      <c r="N4" s="1">
        <v>0</v>
      </c>
      <c r="O4" s="1" t="s">
        <v>14</v>
      </c>
      <c r="P4" s="1">
        <v>354</v>
      </c>
      <c r="Q4" s="1" t="s">
        <v>14</v>
      </c>
      <c r="R4" s="1">
        <v>74340</v>
      </c>
      <c r="S4" s="1" t="s">
        <v>12</v>
      </c>
      <c r="T4" s="1" t="str">
        <f t="shared" ref="T4:T67" si="0">CONCATENATE(A4,B4,C4,D4,E4,F4,G4,H4,I4,J4,K4,L4,M4,N4,O4,P4,Q4,R4,S4)</f>
        <v>&lt;tr&gt; &lt;td&gt;7427401&lt;/td&gt;&lt;td&gt;ECSTAR PETROL 0W-20-210 L&lt;/td&gt;&lt;td&gt;210&lt;/td&gt;&lt;td&gt;300&lt;/td&gt;&lt;td&gt;0&lt;/td&gt;&lt;td&gt;0&lt;/td&gt;&lt;td&gt;0&lt;/td&gt;&lt;td&gt;354&lt;/td&gt;&lt;td&gt;74340&lt;/td&gt;&lt;/tr&gt;</v>
      </c>
    </row>
    <row r="5" spans="1:20" x14ac:dyDescent="0.3">
      <c r="A5" s="1" t="s">
        <v>13</v>
      </c>
      <c r="B5" s="1">
        <v>7428401</v>
      </c>
      <c r="C5" s="1" t="s">
        <v>14</v>
      </c>
      <c r="D5" s="1" t="s">
        <v>17</v>
      </c>
      <c r="E5" s="1" t="s">
        <v>14</v>
      </c>
      <c r="F5" s="1">
        <v>210</v>
      </c>
      <c r="G5" s="1" t="s">
        <v>14</v>
      </c>
      <c r="H5" s="1">
        <v>333</v>
      </c>
      <c r="I5" s="1" t="s">
        <v>14</v>
      </c>
      <c r="J5" s="1">
        <v>0</v>
      </c>
      <c r="K5" s="1" t="s">
        <v>14</v>
      </c>
      <c r="L5" s="1">
        <v>0</v>
      </c>
      <c r="M5" s="1" t="s">
        <v>14</v>
      </c>
      <c r="N5" s="1">
        <v>0</v>
      </c>
      <c r="O5" s="1" t="s">
        <v>14</v>
      </c>
      <c r="P5" s="1">
        <v>392.94</v>
      </c>
      <c r="Q5" s="1" t="s">
        <v>14</v>
      </c>
      <c r="R5" s="1">
        <v>82517.399999999994</v>
      </c>
      <c r="S5" s="1" t="s">
        <v>12</v>
      </c>
      <c r="T5" s="1" t="str">
        <f t="shared" si="0"/>
        <v>&lt;tr&gt; &lt;td&gt;7428401&lt;/td&gt;&lt;td&gt;ECSTAR DIESEL 5W-30-210 L&lt;/td&gt;&lt;td&gt;210&lt;/td&gt;&lt;td&gt;333&lt;/td&gt;&lt;td&gt;0&lt;/td&gt;&lt;td&gt;0&lt;/td&gt;&lt;td&gt;0&lt;/td&gt;&lt;td&gt;392.94&lt;/td&gt;&lt;td&gt;82517.4&lt;/td&gt;&lt;/tr&gt;</v>
      </c>
    </row>
    <row r="6" spans="1:20" x14ac:dyDescent="0.3">
      <c r="A6" s="1" t="s">
        <v>13</v>
      </c>
      <c r="B6" s="1">
        <v>7670401</v>
      </c>
      <c r="C6" s="1" t="s">
        <v>14</v>
      </c>
      <c r="D6" s="1" t="s">
        <v>18</v>
      </c>
      <c r="E6" s="1" t="s">
        <v>14</v>
      </c>
      <c r="F6" s="1">
        <v>210</v>
      </c>
      <c r="G6" s="1" t="s">
        <v>14</v>
      </c>
      <c r="H6" s="1">
        <v>220</v>
      </c>
      <c r="I6" s="1" t="s">
        <v>14</v>
      </c>
      <c r="J6" s="1">
        <v>0</v>
      </c>
      <c r="K6" s="1" t="s">
        <v>14</v>
      </c>
      <c r="L6" s="1">
        <v>0</v>
      </c>
      <c r="M6" s="1" t="s">
        <v>14</v>
      </c>
      <c r="N6" s="1">
        <v>0</v>
      </c>
      <c r="O6" s="1" t="s">
        <v>14</v>
      </c>
      <c r="P6" s="1">
        <v>259.59999999999997</v>
      </c>
      <c r="Q6" s="1" t="s">
        <v>14</v>
      </c>
      <c r="R6" s="1">
        <v>54515.999999999993</v>
      </c>
      <c r="S6" s="1" t="s">
        <v>12</v>
      </c>
      <c r="T6" s="1" t="str">
        <f t="shared" si="0"/>
        <v>&lt;tr&gt; &lt;td&gt;7670401&lt;/td&gt;&lt;td&gt;MGDO 15W-40 - 210 L BRL&lt;/td&gt;&lt;td&gt;210&lt;/td&gt;&lt;td&gt;220&lt;/td&gt;&lt;td&gt;0&lt;/td&gt;&lt;td&gt;0&lt;/td&gt;&lt;td&gt;0&lt;/td&gt;&lt;td&gt;259.6&lt;/td&gt;&lt;td&gt;54516&lt;/td&gt;&lt;/tr&gt;</v>
      </c>
    </row>
    <row r="7" spans="1:20" x14ac:dyDescent="0.3">
      <c r="A7" s="1" t="s">
        <v>13</v>
      </c>
      <c r="B7" s="1">
        <v>7688401</v>
      </c>
      <c r="C7" s="1" t="s">
        <v>14</v>
      </c>
      <c r="D7" s="1" t="s">
        <v>19</v>
      </c>
      <c r="E7" s="1" t="s">
        <v>14</v>
      </c>
      <c r="F7" s="1">
        <v>210</v>
      </c>
      <c r="G7" s="1" t="s">
        <v>14</v>
      </c>
      <c r="H7" s="1">
        <v>233</v>
      </c>
      <c r="I7" s="1" t="s">
        <v>14</v>
      </c>
      <c r="J7" s="1">
        <v>0</v>
      </c>
      <c r="K7" s="1" t="s">
        <v>14</v>
      </c>
      <c r="L7" s="1">
        <v>0</v>
      </c>
      <c r="M7" s="1" t="s">
        <v>14</v>
      </c>
      <c r="N7" s="1">
        <v>0</v>
      </c>
      <c r="O7" s="1" t="s">
        <v>14</v>
      </c>
      <c r="P7" s="1">
        <v>274.94</v>
      </c>
      <c r="Q7" s="1" t="s">
        <v>14</v>
      </c>
      <c r="R7" s="1">
        <v>57737.4</v>
      </c>
      <c r="S7" s="1" t="s">
        <v>12</v>
      </c>
      <c r="T7" s="1" t="str">
        <f t="shared" si="0"/>
        <v>&lt;tr&gt; &lt;td&gt;7688401&lt;/td&gt;&lt;td&gt;MGO 5W-30-210 L BRL&lt;/td&gt;&lt;td&gt;210&lt;/td&gt;&lt;td&gt;233&lt;/td&gt;&lt;td&gt;0&lt;/td&gt;&lt;td&gt;0&lt;/td&gt;&lt;td&gt;0&lt;/td&gt;&lt;td&gt;274.94&lt;/td&gt;&lt;td&gt;57737.4&lt;/td&gt;&lt;/tr&gt;</v>
      </c>
    </row>
    <row r="8" spans="1:20" x14ac:dyDescent="0.3">
      <c r="A8" s="1" t="s">
        <v>13</v>
      </c>
      <c r="B8" s="1">
        <v>2968401</v>
      </c>
      <c r="C8" s="1" t="s">
        <v>14</v>
      </c>
      <c r="D8" s="1" t="s">
        <v>20</v>
      </c>
      <c r="E8" s="1" t="s">
        <v>14</v>
      </c>
      <c r="F8" s="1">
        <v>210</v>
      </c>
      <c r="G8" s="1" t="s">
        <v>14</v>
      </c>
      <c r="H8" s="1">
        <v>260</v>
      </c>
      <c r="I8" s="1" t="s">
        <v>14</v>
      </c>
      <c r="J8" s="1">
        <v>0</v>
      </c>
      <c r="K8" s="1" t="s">
        <v>14</v>
      </c>
      <c r="L8" s="1">
        <v>0</v>
      </c>
      <c r="M8" s="1" t="s">
        <v>14</v>
      </c>
      <c r="N8" s="1">
        <v>0</v>
      </c>
      <c r="O8" s="1" t="s">
        <v>14</v>
      </c>
      <c r="P8" s="1">
        <v>306.8</v>
      </c>
      <c r="Q8" s="1" t="s">
        <v>14</v>
      </c>
      <c r="R8" s="1">
        <v>64428</v>
      </c>
      <c r="S8" s="1" t="s">
        <v>12</v>
      </c>
      <c r="T8" s="1" t="str">
        <f t="shared" si="0"/>
        <v>&lt;tr&gt; &lt;td&gt;2968401&lt;/td&gt;&lt;td&gt;HY.SERVO ENGINE OIL 5W-30-210 L BRL&lt;/td&gt;&lt;td&gt;210&lt;/td&gt;&lt;td&gt;260&lt;/td&gt;&lt;td&gt;0&lt;/td&gt;&lt;td&gt;0&lt;/td&gt;&lt;td&gt;0&lt;/td&gt;&lt;td&gt;306.8&lt;/td&gt;&lt;td&gt;64428&lt;/td&gt;&lt;/tr&gt;</v>
      </c>
    </row>
    <row r="9" spans="1:20" x14ac:dyDescent="0.3">
      <c r="A9" s="1" t="s">
        <v>13</v>
      </c>
      <c r="B9" s="1">
        <v>7205401</v>
      </c>
      <c r="C9" s="1" t="s">
        <v>14</v>
      </c>
      <c r="D9" s="1" t="s">
        <v>21</v>
      </c>
      <c r="E9" s="1" t="s">
        <v>14</v>
      </c>
      <c r="F9" s="1">
        <v>210</v>
      </c>
      <c r="G9" s="1" t="s">
        <v>14</v>
      </c>
      <c r="H9" s="1">
        <v>345</v>
      </c>
      <c r="I9" s="1" t="s">
        <v>14</v>
      </c>
      <c r="J9" s="1">
        <v>0</v>
      </c>
      <c r="K9" s="1" t="s">
        <v>14</v>
      </c>
      <c r="L9" s="1">
        <v>0</v>
      </c>
      <c r="M9" s="1" t="s">
        <v>14</v>
      </c>
      <c r="N9" s="1">
        <v>0</v>
      </c>
      <c r="O9" s="1" t="s">
        <v>14</v>
      </c>
      <c r="P9" s="1">
        <v>407.09999999999997</v>
      </c>
      <c r="Q9" s="1" t="s">
        <v>14</v>
      </c>
      <c r="R9" s="1">
        <v>85491</v>
      </c>
      <c r="S9" s="1" t="s">
        <v>12</v>
      </c>
      <c r="T9" s="1" t="str">
        <f t="shared" si="0"/>
        <v>&lt;tr&gt; &lt;td&gt;7205401&lt;/td&gt;&lt;td&gt;HYUNDAI SERVO SUPERIOR 0W30-210 L&lt;/td&gt;&lt;td&gt;210&lt;/td&gt;&lt;td&gt;345&lt;/td&gt;&lt;td&gt;0&lt;/td&gt;&lt;td&gt;0&lt;/td&gt;&lt;td&gt;0&lt;/td&gt;&lt;td&gt;407.1&lt;/td&gt;&lt;td&gt;85491&lt;/td&gt;&lt;/tr&gt;</v>
      </c>
    </row>
    <row r="10" spans="1:20" x14ac:dyDescent="0.3">
      <c r="A10" s="1" t="s">
        <v>13</v>
      </c>
      <c r="B10" s="1">
        <v>7420401</v>
      </c>
      <c r="C10" s="1" t="s">
        <v>14</v>
      </c>
      <c r="D10" s="1" t="s">
        <v>22</v>
      </c>
      <c r="E10" s="1" t="s">
        <v>14</v>
      </c>
      <c r="F10" s="1">
        <v>210</v>
      </c>
      <c r="G10" s="1" t="s">
        <v>14</v>
      </c>
      <c r="H10" s="1">
        <v>322</v>
      </c>
      <c r="I10" s="1" t="s">
        <v>14</v>
      </c>
      <c r="J10" s="1">
        <v>0</v>
      </c>
      <c r="K10" s="1" t="s">
        <v>14</v>
      </c>
      <c r="L10" s="1">
        <v>0</v>
      </c>
      <c r="M10" s="1" t="s">
        <v>14</v>
      </c>
      <c r="N10" s="1">
        <v>0</v>
      </c>
      <c r="O10" s="1" t="s">
        <v>14</v>
      </c>
      <c r="P10" s="1">
        <v>379.96</v>
      </c>
      <c r="Q10" s="1" t="s">
        <v>14</v>
      </c>
      <c r="R10" s="1">
        <v>79791.599999999991</v>
      </c>
      <c r="S10" s="1" t="s">
        <v>12</v>
      </c>
      <c r="T10" s="1" t="str">
        <f t="shared" si="0"/>
        <v>&lt;tr&gt; &lt;td&gt;7420401&lt;/td&gt;&lt;td&gt;HY SERVO PETROL EO SN PLUS-210 L&lt;/td&gt;&lt;td&gt;210&lt;/td&gt;&lt;td&gt;322&lt;/td&gt;&lt;td&gt;0&lt;/td&gt;&lt;td&gt;0&lt;/td&gt;&lt;td&gt;0&lt;/td&gt;&lt;td&gt;379.96&lt;/td&gt;&lt;td&gt;79791.6&lt;/td&gt;&lt;/tr&gt;</v>
      </c>
    </row>
    <row r="11" spans="1:20" x14ac:dyDescent="0.3">
      <c r="A11" s="1" t="s">
        <v>13</v>
      </c>
      <c r="B11" s="1">
        <v>7421401</v>
      </c>
      <c r="C11" s="1" t="s">
        <v>14</v>
      </c>
      <c r="D11" s="1" t="s">
        <v>23</v>
      </c>
      <c r="E11" s="1" t="s">
        <v>14</v>
      </c>
      <c r="F11" s="1">
        <v>210</v>
      </c>
      <c r="G11" s="1" t="s">
        <v>14</v>
      </c>
      <c r="H11" s="1">
        <v>364</v>
      </c>
      <c r="I11" s="1" t="s">
        <v>14</v>
      </c>
      <c r="J11" s="1">
        <v>0</v>
      </c>
      <c r="K11" s="1" t="s">
        <v>14</v>
      </c>
      <c r="L11" s="1">
        <v>0</v>
      </c>
      <c r="M11" s="1" t="s">
        <v>14</v>
      </c>
      <c r="N11" s="1">
        <v>0</v>
      </c>
      <c r="O11" s="1" t="s">
        <v>14</v>
      </c>
      <c r="P11" s="1">
        <v>429.52</v>
      </c>
      <c r="Q11" s="1" t="s">
        <v>14</v>
      </c>
      <c r="R11" s="1">
        <v>90199.2</v>
      </c>
      <c r="S11" s="1" t="s">
        <v>12</v>
      </c>
      <c r="T11" s="1" t="str">
        <f t="shared" si="0"/>
        <v>&lt;tr&gt; &lt;td&gt;7421401&lt;/td&gt;&lt;td&gt;HYUNDAI SERVO DEO ACEA C5-210 L&lt;/td&gt;&lt;td&gt;210&lt;/td&gt;&lt;td&gt;364&lt;/td&gt;&lt;td&gt;0&lt;/td&gt;&lt;td&gt;0&lt;/td&gt;&lt;td&gt;0&lt;/td&gt;&lt;td&gt;429.52&lt;/td&gt;&lt;td&gt;90199.2&lt;/td&gt;&lt;/tr&gt;</v>
      </c>
    </row>
    <row r="12" spans="1:20" x14ac:dyDescent="0.3">
      <c r="A12" s="1" t="s">
        <v>13</v>
      </c>
      <c r="B12" s="1">
        <v>7477401</v>
      </c>
      <c r="C12" s="1" t="s">
        <v>14</v>
      </c>
      <c r="D12" s="1" t="s">
        <v>24</v>
      </c>
      <c r="E12" s="1" t="s">
        <v>14</v>
      </c>
      <c r="F12" s="1">
        <v>210</v>
      </c>
      <c r="G12" s="1" t="s">
        <v>14</v>
      </c>
      <c r="H12" s="1">
        <v>269</v>
      </c>
      <c r="I12" s="1" t="s">
        <v>14</v>
      </c>
      <c r="J12" s="1">
        <v>0</v>
      </c>
      <c r="K12" s="1" t="s">
        <v>14</v>
      </c>
      <c r="L12" s="1">
        <v>0</v>
      </c>
      <c r="M12" s="1" t="s">
        <v>14</v>
      </c>
      <c r="N12" s="1">
        <v>0</v>
      </c>
      <c r="O12" s="1" t="s">
        <v>14</v>
      </c>
      <c r="P12" s="1">
        <v>317.41999999999996</v>
      </c>
      <c r="Q12" s="1" t="s">
        <v>14</v>
      </c>
      <c r="R12" s="1">
        <v>66658.2</v>
      </c>
      <c r="S12" s="1" t="s">
        <v>12</v>
      </c>
      <c r="T12" s="1" t="str">
        <f t="shared" si="0"/>
        <v>&lt;tr&gt; &lt;td&gt;7477401&lt;/td&gt;&lt;td&gt;HY.SERVO PRM.EO SM 5W-30-210 L BRL&lt;/td&gt;&lt;td&gt;210&lt;/td&gt;&lt;td&gt;269&lt;/td&gt;&lt;td&gt;0&lt;/td&gt;&lt;td&gt;0&lt;/td&gt;&lt;td&gt;0&lt;/td&gt;&lt;td&gt;317.42&lt;/td&gt;&lt;td&gt;66658.2&lt;/td&gt;&lt;/tr&gt;</v>
      </c>
    </row>
    <row r="13" spans="1:20" x14ac:dyDescent="0.3">
      <c r="A13" s="1" t="s">
        <v>13</v>
      </c>
      <c r="B13" s="1">
        <v>7209401</v>
      </c>
      <c r="C13" s="1" t="s">
        <v>14</v>
      </c>
      <c r="D13" s="1" t="s">
        <v>25</v>
      </c>
      <c r="E13" s="1" t="s">
        <v>14</v>
      </c>
      <c r="F13" s="1">
        <v>210</v>
      </c>
      <c r="G13" s="1" t="s">
        <v>14</v>
      </c>
      <c r="H13" s="1">
        <v>779</v>
      </c>
      <c r="I13" s="1" t="s">
        <v>14</v>
      </c>
      <c r="J13" s="1">
        <v>0</v>
      </c>
      <c r="K13" s="1" t="s">
        <v>14</v>
      </c>
      <c r="L13" s="1">
        <v>0</v>
      </c>
      <c r="M13" s="1" t="s">
        <v>14</v>
      </c>
      <c r="N13" s="1">
        <v>0</v>
      </c>
      <c r="O13" s="1" t="s">
        <v>14</v>
      </c>
      <c r="P13" s="1">
        <v>919.21999999999991</v>
      </c>
      <c r="Q13" s="1" t="s">
        <v>14</v>
      </c>
      <c r="R13" s="1">
        <v>193036.19999999998</v>
      </c>
      <c r="S13" s="1" t="s">
        <v>12</v>
      </c>
      <c r="T13" s="1" t="str">
        <f t="shared" si="0"/>
        <v>&lt;tr&gt; &lt;td&gt;7209401&lt;/td&gt;&lt;td&gt;HYUNDAI SERVO SYNTH 0W-30 API SP/ ACEA C3&lt;/td&gt;&lt;td&gt;210&lt;/td&gt;&lt;td&gt;779&lt;/td&gt;&lt;td&gt;0&lt;/td&gt;&lt;td&gt;0&lt;/td&gt;&lt;td&gt;0&lt;/td&gt;&lt;td&gt;919.22&lt;/td&gt;&lt;td&gt;193036.2&lt;/td&gt;&lt;/tr&gt;</v>
      </c>
    </row>
    <row r="14" spans="1:20" x14ac:dyDescent="0.3">
      <c r="A14" s="1" t="s">
        <v>13</v>
      </c>
      <c r="B14" s="1">
        <v>7202271</v>
      </c>
      <c r="C14" s="1" t="s">
        <v>14</v>
      </c>
      <c r="D14" s="1" t="s">
        <v>26</v>
      </c>
      <c r="E14" s="1" t="s">
        <v>14</v>
      </c>
      <c r="F14" s="1">
        <v>50</v>
      </c>
      <c r="G14" s="1" t="s">
        <v>14</v>
      </c>
      <c r="H14" s="1">
        <v>307.5</v>
      </c>
      <c r="I14" s="1" t="s">
        <v>14</v>
      </c>
      <c r="J14" s="1">
        <v>0</v>
      </c>
      <c r="K14" s="1" t="s">
        <v>14</v>
      </c>
      <c r="L14" s="1">
        <v>0</v>
      </c>
      <c r="M14" s="1" t="s">
        <v>14</v>
      </c>
      <c r="N14" s="1">
        <v>0</v>
      </c>
      <c r="O14" s="1" t="s">
        <v>14</v>
      </c>
      <c r="P14" s="1">
        <v>362.84999999999997</v>
      </c>
      <c r="Q14" s="1" t="s">
        <v>14</v>
      </c>
      <c r="R14" s="1">
        <v>18142.5</v>
      </c>
      <c r="S14" s="1" t="s">
        <v>12</v>
      </c>
      <c r="T14" s="1" t="str">
        <f t="shared" si="0"/>
        <v>&lt;tr&gt; &lt;td&gt;7202271&lt;/td&gt;&lt;td&gt;SERVO SUPERIOR EO 0W30 ACEA C2-50 L&lt;/td&gt;&lt;td&gt;50&lt;/td&gt;&lt;td&gt;307.5&lt;/td&gt;&lt;td&gt;0&lt;/td&gt;&lt;td&gt;0&lt;/td&gt;&lt;td&gt;0&lt;/td&gt;&lt;td&gt;362.85&lt;/td&gt;&lt;td&gt;18142.5&lt;/td&gt;&lt;/tr&gt;</v>
      </c>
    </row>
    <row r="15" spans="1:20" x14ac:dyDescent="0.3">
      <c r="A15" s="1" t="s">
        <v>13</v>
      </c>
      <c r="B15" s="1">
        <v>7206271</v>
      </c>
      <c r="C15" s="1" t="s">
        <v>14</v>
      </c>
      <c r="D15" s="1" t="s">
        <v>27</v>
      </c>
      <c r="E15" s="1" t="s">
        <v>14</v>
      </c>
      <c r="F15" s="1">
        <v>50</v>
      </c>
      <c r="G15" s="1" t="s">
        <v>14</v>
      </c>
      <c r="H15" s="1">
        <v>289.8</v>
      </c>
      <c r="I15" s="1" t="s">
        <v>14</v>
      </c>
      <c r="J15" s="1">
        <v>0</v>
      </c>
      <c r="K15" s="1" t="s">
        <v>14</v>
      </c>
      <c r="L15" s="1">
        <v>0</v>
      </c>
      <c r="M15" s="1" t="s">
        <v>14</v>
      </c>
      <c r="N15" s="1">
        <v>0</v>
      </c>
      <c r="O15" s="1" t="s">
        <v>14</v>
      </c>
      <c r="P15" s="1">
        <v>341.964</v>
      </c>
      <c r="Q15" s="1" t="s">
        <v>14</v>
      </c>
      <c r="R15" s="1">
        <v>17098.2</v>
      </c>
      <c r="S15" s="1" t="s">
        <v>12</v>
      </c>
      <c r="T15" s="1" t="str">
        <f t="shared" si="0"/>
        <v>&lt;tr&gt; &lt;td&gt;7206271&lt;/td&gt;&lt;td&gt;SERVO SUPERIOR EO 0W20 ACEA C5-50 L&lt;/td&gt;&lt;td&gt;50&lt;/td&gt;&lt;td&gt;289.8&lt;/td&gt;&lt;td&gt;0&lt;/td&gt;&lt;td&gt;0&lt;/td&gt;&lt;td&gt;0&lt;/td&gt;&lt;td&gt;341.964&lt;/td&gt;&lt;td&gt;17098.2&lt;/td&gt;&lt;/tr&gt;</v>
      </c>
    </row>
    <row r="16" spans="1:20" x14ac:dyDescent="0.3">
      <c r="A16" s="1" t="s">
        <v>13</v>
      </c>
      <c r="B16" s="1">
        <v>7207271</v>
      </c>
      <c r="C16" s="1" t="s">
        <v>14</v>
      </c>
      <c r="D16" s="1" t="s">
        <v>28</v>
      </c>
      <c r="E16" s="1" t="s">
        <v>14</v>
      </c>
      <c r="F16" s="1">
        <v>50</v>
      </c>
      <c r="G16" s="1" t="s">
        <v>14</v>
      </c>
      <c r="H16" s="1">
        <v>263.7</v>
      </c>
      <c r="I16" s="1" t="s">
        <v>14</v>
      </c>
      <c r="J16" s="1">
        <v>0</v>
      </c>
      <c r="K16" s="1" t="s">
        <v>14</v>
      </c>
      <c r="L16" s="1">
        <v>0</v>
      </c>
      <c r="M16" s="1" t="s">
        <v>14</v>
      </c>
      <c r="N16" s="1">
        <v>0</v>
      </c>
      <c r="O16" s="1" t="s">
        <v>14</v>
      </c>
      <c r="P16" s="1">
        <v>311.166</v>
      </c>
      <c r="Q16" s="1" t="s">
        <v>14</v>
      </c>
      <c r="R16" s="1">
        <v>15558.3</v>
      </c>
      <c r="S16" s="1" t="s">
        <v>12</v>
      </c>
      <c r="T16" s="1" t="str">
        <f t="shared" si="0"/>
        <v>&lt;tr&gt; &lt;td&gt;7207271&lt;/td&gt;&lt;td&gt;SERVO SUPERIOR EO 5W30 ACEA A5/B5-50 L&lt;/td&gt;&lt;td&gt;50&lt;/td&gt;&lt;td&gt;263.7&lt;/td&gt;&lt;td&gt;0&lt;/td&gt;&lt;td&gt;0&lt;/td&gt;&lt;td&gt;0&lt;/td&gt;&lt;td&gt;311.166&lt;/td&gt;&lt;td&gt;15558.3&lt;/td&gt;&lt;/tr&gt;</v>
      </c>
    </row>
    <row r="17" spans="1:20" x14ac:dyDescent="0.3">
      <c r="A17" s="1" t="s">
        <v>13</v>
      </c>
      <c r="B17" s="1">
        <v>7208271</v>
      </c>
      <c r="C17" s="1" t="s">
        <v>14</v>
      </c>
      <c r="D17" s="1" t="s">
        <v>29</v>
      </c>
      <c r="E17" s="1" t="s">
        <v>14</v>
      </c>
      <c r="F17" s="1">
        <v>50</v>
      </c>
      <c r="G17" s="1" t="s">
        <v>14</v>
      </c>
      <c r="H17" s="1">
        <v>284</v>
      </c>
      <c r="I17" s="1" t="s">
        <v>14</v>
      </c>
      <c r="J17" s="1">
        <v>0</v>
      </c>
      <c r="K17" s="1" t="s">
        <v>14</v>
      </c>
      <c r="L17" s="1">
        <v>0</v>
      </c>
      <c r="M17" s="1" t="s">
        <v>14</v>
      </c>
      <c r="N17" s="1">
        <v>0</v>
      </c>
      <c r="O17" s="1" t="s">
        <v>14</v>
      </c>
      <c r="P17" s="1">
        <v>335.12</v>
      </c>
      <c r="Q17" s="1" t="s">
        <v>14</v>
      </c>
      <c r="R17" s="1">
        <v>16756</v>
      </c>
      <c r="S17" s="1" t="s">
        <v>12</v>
      </c>
      <c r="T17" s="1" t="str">
        <f t="shared" si="0"/>
        <v>&lt;tr&gt; &lt;td&gt;7208271&lt;/td&gt;&lt;td&gt;SERVO SUPERIOR EO 0W20 SN PLUS-50 L&lt;/td&gt;&lt;td&gt;50&lt;/td&gt;&lt;td&gt;284&lt;/td&gt;&lt;td&gt;0&lt;/td&gt;&lt;td&gt;0&lt;/td&gt;&lt;td&gt;0&lt;/td&gt;&lt;td&gt;335.12&lt;/td&gt;&lt;td&gt;16756&lt;/td&gt;&lt;/tr&gt;</v>
      </c>
    </row>
    <row r="18" spans="1:20" x14ac:dyDescent="0.3">
      <c r="A18" s="1" t="s">
        <v>13</v>
      </c>
      <c r="B18" s="1">
        <v>7202401</v>
      </c>
      <c r="C18" s="1" t="s">
        <v>14</v>
      </c>
      <c r="D18" s="1" t="s">
        <v>30</v>
      </c>
      <c r="E18" s="1" t="s">
        <v>14</v>
      </c>
      <c r="F18" s="1">
        <v>210</v>
      </c>
      <c r="G18" s="1" t="s">
        <v>14</v>
      </c>
      <c r="H18" s="1">
        <v>307.5</v>
      </c>
      <c r="I18" s="1" t="s">
        <v>14</v>
      </c>
      <c r="J18" s="1">
        <v>0</v>
      </c>
      <c r="K18" s="1" t="s">
        <v>14</v>
      </c>
      <c r="L18" s="1">
        <v>0</v>
      </c>
      <c r="M18" s="1" t="s">
        <v>14</v>
      </c>
      <c r="N18" s="1">
        <v>0</v>
      </c>
      <c r="O18" s="1" t="s">
        <v>14</v>
      </c>
      <c r="P18" s="1">
        <v>362.84999999999997</v>
      </c>
      <c r="Q18" s="1" t="s">
        <v>14</v>
      </c>
      <c r="R18" s="1">
        <v>76198.5</v>
      </c>
      <c r="S18" s="1" t="s">
        <v>12</v>
      </c>
      <c r="T18" s="1" t="str">
        <f t="shared" si="0"/>
        <v>&lt;tr&gt; &lt;td&gt;7202401&lt;/td&gt;&lt;td&gt;SERVO SUPERIOR EO 0W30 ACEA C2-210 L&lt;/td&gt;&lt;td&gt;210&lt;/td&gt;&lt;td&gt;307.5&lt;/td&gt;&lt;td&gt;0&lt;/td&gt;&lt;td&gt;0&lt;/td&gt;&lt;td&gt;0&lt;/td&gt;&lt;td&gt;362.85&lt;/td&gt;&lt;td&gt;76198.5&lt;/td&gt;&lt;/tr&gt;</v>
      </c>
    </row>
    <row r="19" spans="1:20" x14ac:dyDescent="0.3">
      <c r="A19" s="1" t="s">
        <v>13</v>
      </c>
      <c r="B19" s="1">
        <v>7206401</v>
      </c>
      <c r="C19" s="1" t="s">
        <v>14</v>
      </c>
      <c r="D19" s="1" t="s">
        <v>31</v>
      </c>
      <c r="E19" s="1" t="s">
        <v>14</v>
      </c>
      <c r="F19" s="1">
        <v>210</v>
      </c>
      <c r="G19" s="1" t="s">
        <v>14</v>
      </c>
      <c r="H19" s="1">
        <v>289.8</v>
      </c>
      <c r="I19" s="1" t="s">
        <v>14</v>
      </c>
      <c r="J19" s="1">
        <v>0</v>
      </c>
      <c r="K19" s="1" t="s">
        <v>14</v>
      </c>
      <c r="L19" s="1">
        <v>0</v>
      </c>
      <c r="M19" s="1" t="s">
        <v>14</v>
      </c>
      <c r="N19" s="1">
        <v>0</v>
      </c>
      <c r="O19" s="1" t="s">
        <v>14</v>
      </c>
      <c r="P19" s="1">
        <v>341.964</v>
      </c>
      <c r="Q19" s="1" t="s">
        <v>14</v>
      </c>
      <c r="R19" s="1">
        <v>71812.44</v>
      </c>
      <c r="S19" s="1" t="s">
        <v>12</v>
      </c>
      <c r="T19" s="1" t="str">
        <f t="shared" si="0"/>
        <v>&lt;tr&gt; &lt;td&gt;7206401&lt;/td&gt;&lt;td&gt;SERVO SUPERIOR EO 0W20 ACEA C5-210 L&lt;/td&gt;&lt;td&gt;210&lt;/td&gt;&lt;td&gt;289.8&lt;/td&gt;&lt;td&gt;0&lt;/td&gt;&lt;td&gt;0&lt;/td&gt;&lt;td&gt;0&lt;/td&gt;&lt;td&gt;341.964&lt;/td&gt;&lt;td&gt;71812.44&lt;/td&gt;&lt;/tr&gt;</v>
      </c>
    </row>
    <row r="20" spans="1:20" x14ac:dyDescent="0.3">
      <c r="A20" s="1" t="s">
        <v>13</v>
      </c>
      <c r="B20" s="1">
        <v>7207401</v>
      </c>
      <c r="C20" s="1" t="s">
        <v>14</v>
      </c>
      <c r="D20" s="1" t="s">
        <v>32</v>
      </c>
      <c r="E20" s="1" t="s">
        <v>14</v>
      </c>
      <c r="F20" s="1">
        <v>210</v>
      </c>
      <c r="G20" s="1" t="s">
        <v>14</v>
      </c>
      <c r="H20" s="1">
        <v>263.7</v>
      </c>
      <c r="I20" s="1" t="s">
        <v>14</v>
      </c>
      <c r="J20" s="1">
        <v>0</v>
      </c>
      <c r="K20" s="1" t="s">
        <v>14</v>
      </c>
      <c r="L20" s="1">
        <v>0</v>
      </c>
      <c r="M20" s="1" t="s">
        <v>14</v>
      </c>
      <c r="N20" s="1">
        <v>0</v>
      </c>
      <c r="O20" s="1" t="s">
        <v>14</v>
      </c>
      <c r="P20" s="1">
        <v>311.166</v>
      </c>
      <c r="Q20" s="1" t="s">
        <v>14</v>
      </c>
      <c r="R20" s="1">
        <v>65344.86</v>
      </c>
      <c r="S20" s="1" t="s">
        <v>12</v>
      </c>
      <c r="T20" s="1" t="str">
        <f t="shared" si="0"/>
        <v>&lt;tr&gt; &lt;td&gt;7207401&lt;/td&gt;&lt;td&gt;SERVO SUPERIOR EO 5W30 ACEA A5/B5-210 L&lt;/td&gt;&lt;td&gt;210&lt;/td&gt;&lt;td&gt;263.7&lt;/td&gt;&lt;td&gt;0&lt;/td&gt;&lt;td&gt;0&lt;/td&gt;&lt;td&gt;0&lt;/td&gt;&lt;td&gt;311.166&lt;/td&gt;&lt;td&gt;65344.86&lt;/td&gt;&lt;/tr&gt;</v>
      </c>
    </row>
    <row r="21" spans="1:20" x14ac:dyDescent="0.3">
      <c r="A21" s="1" t="s">
        <v>13</v>
      </c>
      <c r="B21" s="1">
        <v>7208401</v>
      </c>
      <c r="C21" s="1" t="s">
        <v>14</v>
      </c>
      <c r="D21" s="1" t="s">
        <v>33</v>
      </c>
      <c r="E21" s="1" t="s">
        <v>14</v>
      </c>
      <c r="F21" s="1">
        <v>210</v>
      </c>
      <c r="G21" s="1" t="s">
        <v>14</v>
      </c>
      <c r="H21" s="1">
        <v>284</v>
      </c>
      <c r="I21" s="1" t="s">
        <v>14</v>
      </c>
      <c r="J21" s="1">
        <v>0</v>
      </c>
      <c r="K21" s="1" t="s">
        <v>14</v>
      </c>
      <c r="L21" s="1">
        <v>0</v>
      </c>
      <c r="M21" s="1" t="s">
        <v>14</v>
      </c>
      <c r="N21" s="1">
        <v>0</v>
      </c>
      <c r="O21" s="1" t="s">
        <v>14</v>
      </c>
      <c r="P21" s="1">
        <v>335.12</v>
      </c>
      <c r="Q21" s="1" t="s">
        <v>14</v>
      </c>
      <c r="R21" s="1">
        <v>70375.199999999997</v>
      </c>
      <c r="S21" s="1" t="s">
        <v>12</v>
      </c>
      <c r="T21" s="1" t="str">
        <f t="shared" si="0"/>
        <v>&lt;tr&gt; &lt;td&gt;7208401&lt;/td&gt;&lt;td&gt;SERVO SUPERIOR EO 0W20 SN PLUS-210 L&lt;/td&gt;&lt;td&gt;210&lt;/td&gt;&lt;td&gt;284&lt;/td&gt;&lt;td&gt;0&lt;/td&gt;&lt;td&gt;0&lt;/td&gt;&lt;td&gt;0&lt;/td&gt;&lt;td&gt;335.12&lt;/td&gt;&lt;td&gt;70375.2&lt;/td&gt;&lt;/tr&gt;</v>
      </c>
    </row>
    <row r="22" spans="1:20" x14ac:dyDescent="0.3">
      <c r="A22" s="1" t="s">
        <v>13</v>
      </c>
      <c r="B22" s="1">
        <v>7264401</v>
      </c>
      <c r="C22" s="1" t="s">
        <v>14</v>
      </c>
      <c r="D22" s="1" t="s">
        <v>34</v>
      </c>
      <c r="E22" s="1" t="s">
        <v>14</v>
      </c>
      <c r="F22" s="1">
        <v>210</v>
      </c>
      <c r="G22" s="1" t="s">
        <v>14</v>
      </c>
      <c r="H22" s="1">
        <v>304</v>
      </c>
      <c r="I22" s="1" t="s">
        <v>14</v>
      </c>
      <c r="J22" s="1">
        <v>14</v>
      </c>
      <c r="K22" s="1" t="s">
        <v>14</v>
      </c>
      <c r="L22" s="1">
        <v>0</v>
      </c>
      <c r="M22" s="1" t="s">
        <v>14</v>
      </c>
      <c r="N22" s="1">
        <v>0</v>
      </c>
      <c r="O22" s="1" t="s">
        <v>14</v>
      </c>
      <c r="P22" s="1">
        <v>342.2</v>
      </c>
      <c r="Q22" s="1" t="s">
        <v>14</v>
      </c>
      <c r="R22" s="1">
        <v>71862</v>
      </c>
      <c r="S22" s="1" t="s">
        <v>12</v>
      </c>
      <c r="T22" s="1" t="str">
        <f t="shared" si="0"/>
        <v>&lt;tr&gt; &lt;td&gt;7264401&lt;/td&gt;&lt;td&gt;SERVO MG HECTOR PETROL ENGINE OIL-210 L&lt;/td&gt;&lt;td&gt;210&lt;/td&gt;&lt;td&gt;304&lt;/td&gt;&lt;td&gt;14&lt;/td&gt;&lt;td&gt;0&lt;/td&gt;&lt;td&gt;0&lt;/td&gt;&lt;td&gt;342.2&lt;/td&gt;&lt;td&gt;71862&lt;/td&gt;&lt;/tr&gt;</v>
      </c>
    </row>
    <row r="23" spans="1:20" x14ac:dyDescent="0.3">
      <c r="A23" s="1" t="s">
        <v>13</v>
      </c>
      <c r="B23" s="1">
        <v>7267401</v>
      </c>
      <c r="C23" s="1" t="s">
        <v>14</v>
      </c>
      <c r="D23" s="1" t="s">
        <v>35</v>
      </c>
      <c r="E23" s="1" t="s">
        <v>14</v>
      </c>
      <c r="F23" s="1">
        <v>210</v>
      </c>
      <c r="G23" s="1" t="s">
        <v>14</v>
      </c>
      <c r="H23" s="1">
        <v>693</v>
      </c>
      <c r="I23" s="1" t="s">
        <v>14</v>
      </c>
      <c r="J23" s="1">
        <v>20</v>
      </c>
      <c r="K23" s="1" t="s">
        <v>14</v>
      </c>
      <c r="L23" s="1">
        <v>0</v>
      </c>
      <c r="M23" s="1" t="s">
        <v>14</v>
      </c>
      <c r="N23" s="1">
        <v>0</v>
      </c>
      <c r="O23" s="1" t="s">
        <v>14</v>
      </c>
      <c r="P23" s="1">
        <v>794.14</v>
      </c>
      <c r="Q23" s="1" t="s">
        <v>14</v>
      </c>
      <c r="R23" s="1">
        <v>166769.4</v>
      </c>
      <c r="S23" s="1" t="s">
        <v>12</v>
      </c>
      <c r="T23" s="1" t="str">
        <f t="shared" si="0"/>
        <v>&lt;tr&gt; &lt;td&gt;7267401&lt;/td&gt;&lt;td&gt;SERVO MG HECTOR DIESEL ENGINE OIL-210 L&lt;/td&gt;&lt;td&gt;210&lt;/td&gt;&lt;td&gt;693&lt;/td&gt;&lt;td&gt;20&lt;/td&gt;&lt;td&gt;0&lt;/td&gt;&lt;td&gt;0&lt;/td&gt;&lt;td&gt;794.14&lt;/td&gt;&lt;td&gt;166769.4&lt;/td&gt;&lt;/tr&gt;</v>
      </c>
    </row>
    <row r="24" spans="1:20" x14ac:dyDescent="0.3">
      <c r="A24" s="1" t="s">
        <v>13</v>
      </c>
      <c r="B24" s="1">
        <v>7265401</v>
      </c>
      <c r="C24" s="1" t="s">
        <v>14</v>
      </c>
      <c r="D24" s="1" t="s">
        <v>36</v>
      </c>
      <c r="E24" s="1" t="s">
        <v>14</v>
      </c>
      <c r="F24" s="1">
        <v>210</v>
      </c>
      <c r="G24" s="1" t="s">
        <v>14</v>
      </c>
      <c r="H24" s="1">
        <v>443</v>
      </c>
      <c r="I24" s="1" t="s">
        <v>14</v>
      </c>
      <c r="J24" s="1">
        <v>20</v>
      </c>
      <c r="K24" s="1" t="s">
        <v>14</v>
      </c>
      <c r="L24" s="1">
        <v>0</v>
      </c>
      <c r="M24" s="1" t="s">
        <v>14</v>
      </c>
      <c r="N24" s="1">
        <v>0</v>
      </c>
      <c r="O24" s="1" t="s">
        <v>14</v>
      </c>
      <c r="P24" s="1">
        <v>499.14</v>
      </c>
      <c r="Q24" s="1" t="s">
        <v>14</v>
      </c>
      <c r="R24" s="1">
        <v>104819.4</v>
      </c>
      <c r="S24" s="1" t="s">
        <v>12</v>
      </c>
      <c r="T24" s="1" t="str">
        <f t="shared" si="0"/>
        <v>&lt;tr&gt; &lt;td&gt;7265401&lt;/td&gt;&lt;td&gt;SERVO MG GLOSTER DIESEL EO-210 L&lt;/td&gt;&lt;td&gt;210&lt;/td&gt;&lt;td&gt;443&lt;/td&gt;&lt;td&gt;20&lt;/td&gt;&lt;td&gt;0&lt;/td&gt;&lt;td&gt;0&lt;/td&gt;&lt;td&gt;499.14&lt;/td&gt;&lt;td&gt;104819.4&lt;/td&gt;&lt;/tr&gt;</v>
      </c>
    </row>
    <row r="25" spans="1:20" x14ac:dyDescent="0.3">
      <c r="A25" s="1" t="s">
        <v>13</v>
      </c>
      <c r="B25" s="1">
        <v>1301401</v>
      </c>
      <c r="C25" s="1" t="s">
        <v>14</v>
      </c>
      <c r="D25" s="1" t="s">
        <v>37</v>
      </c>
      <c r="E25" s="1" t="s">
        <v>14</v>
      </c>
      <c r="F25" s="1">
        <v>210</v>
      </c>
      <c r="G25" s="1" t="s">
        <v>14</v>
      </c>
      <c r="H25" s="1">
        <v>191</v>
      </c>
      <c r="I25" s="1" t="s">
        <v>14</v>
      </c>
      <c r="J25" s="1">
        <v>6</v>
      </c>
      <c r="K25" s="1" t="s">
        <v>14</v>
      </c>
      <c r="L25" s="1">
        <v>0</v>
      </c>
      <c r="M25" s="1" t="s">
        <v>14</v>
      </c>
      <c r="N25" s="1">
        <v>0</v>
      </c>
      <c r="O25" s="1" t="s">
        <v>14</v>
      </c>
      <c r="P25" s="1">
        <v>218.29999999999998</v>
      </c>
      <c r="Q25" s="1" t="s">
        <v>14</v>
      </c>
      <c r="R25" s="1">
        <v>45843</v>
      </c>
      <c r="S25" s="1" t="s">
        <v>12</v>
      </c>
      <c r="T25" s="1" t="str">
        <f t="shared" si="0"/>
        <v>&lt;tr&gt; &lt;td&gt;1301401&lt;/td&gt;&lt;td&gt;SERVO ULTRA 10W - 210L BRL&lt;/td&gt;&lt;td&gt;210&lt;/td&gt;&lt;td&gt;191&lt;/td&gt;&lt;td&gt;6&lt;/td&gt;&lt;td&gt;0&lt;/td&gt;&lt;td&gt;0&lt;/td&gt;&lt;td&gt;218.3&lt;/td&gt;&lt;td&gt;45843&lt;/td&gt;&lt;/tr&gt;</v>
      </c>
    </row>
    <row r="26" spans="1:20" x14ac:dyDescent="0.3">
      <c r="A26" s="1" t="s">
        <v>13</v>
      </c>
      <c r="B26" s="1">
        <v>1404401</v>
      </c>
      <c r="C26" s="1" t="s">
        <v>14</v>
      </c>
      <c r="D26" s="1" t="s">
        <v>38</v>
      </c>
      <c r="E26" s="1" t="s">
        <v>14</v>
      </c>
      <c r="F26" s="1">
        <v>210</v>
      </c>
      <c r="G26" s="1" t="s">
        <v>14</v>
      </c>
      <c r="H26" s="1">
        <v>228</v>
      </c>
      <c r="I26" s="1" t="s">
        <v>14</v>
      </c>
      <c r="J26" s="1">
        <v>6</v>
      </c>
      <c r="K26" s="1" t="s">
        <v>14</v>
      </c>
      <c r="L26" s="1">
        <v>0</v>
      </c>
      <c r="M26" s="1" t="s">
        <v>14</v>
      </c>
      <c r="N26" s="1">
        <v>0</v>
      </c>
      <c r="O26" s="1" t="s">
        <v>14</v>
      </c>
      <c r="P26" s="1">
        <v>261.95999999999998</v>
      </c>
      <c r="Q26" s="1" t="s">
        <v>14</v>
      </c>
      <c r="R26" s="1">
        <v>55011.6</v>
      </c>
      <c r="S26" s="1" t="s">
        <v>12</v>
      </c>
      <c r="T26" s="1" t="str">
        <f t="shared" si="0"/>
        <v>&lt;tr&gt; &lt;td&gt;1404401&lt;/td&gt;&lt;td&gt;SERVO PRIDE 40 - 210L BRL&lt;/td&gt;&lt;td&gt;210&lt;/td&gt;&lt;td&gt;228&lt;/td&gt;&lt;td&gt;6&lt;/td&gt;&lt;td&gt;0&lt;/td&gt;&lt;td&gt;0&lt;/td&gt;&lt;td&gt;261.96&lt;/td&gt;&lt;td&gt;55011.6&lt;/td&gt;&lt;/tr&gt;</v>
      </c>
    </row>
    <row r="27" spans="1:20" x14ac:dyDescent="0.3">
      <c r="A27" s="1" t="s">
        <v>13</v>
      </c>
      <c r="B27" s="1">
        <v>7436401</v>
      </c>
      <c r="C27" s="1" t="s">
        <v>14</v>
      </c>
      <c r="D27" s="1" t="s">
        <v>39</v>
      </c>
      <c r="E27" s="1" t="s">
        <v>14</v>
      </c>
      <c r="F27" s="1">
        <v>210</v>
      </c>
      <c r="G27" s="1" t="s">
        <v>14</v>
      </c>
      <c r="H27" s="1">
        <v>255</v>
      </c>
      <c r="I27" s="1" t="s">
        <v>14</v>
      </c>
      <c r="J27" s="1">
        <v>16</v>
      </c>
      <c r="K27" s="1" t="s">
        <v>14</v>
      </c>
      <c r="L27" s="1">
        <v>0</v>
      </c>
      <c r="M27" s="1" t="s">
        <v>14</v>
      </c>
      <c r="N27" s="1">
        <v>0</v>
      </c>
      <c r="O27" s="1" t="s">
        <v>14</v>
      </c>
      <c r="P27" s="1">
        <v>282.02</v>
      </c>
      <c r="Q27" s="1" t="s">
        <v>14</v>
      </c>
      <c r="R27" s="1">
        <v>59224.2</v>
      </c>
      <c r="S27" s="1" t="s">
        <v>12</v>
      </c>
      <c r="T27" s="1" t="str">
        <f t="shared" si="0"/>
        <v>&lt;tr&gt; &lt;td&gt;7436401&lt;/td&gt;&lt;td&gt;SERVO PRIDE NXT CK4 15W40-210 L BRL&lt;/td&gt;&lt;td&gt;210&lt;/td&gt;&lt;td&gt;255&lt;/td&gt;&lt;td&gt;16&lt;/td&gt;&lt;td&gt;0&lt;/td&gt;&lt;td&gt;0&lt;/td&gt;&lt;td&gt;282.02&lt;/td&gt;&lt;td&gt;59224.2&lt;/td&gt;&lt;/tr&gt;</v>
      </c>
    </row>
    <row r="28" spans="1:20" x14ac:dyDescent="0.3">
      <c r="A28" s="1" t="s">
        <v>13</v>
      </c>
      <c r="B28" s="1">
        <v>7470401</v>
      </c>
      <c r="C28" s="1" t="s">
        <v>14</v>
      </c>
      <c r="D28" s="1" t="s">
        <v>40</v>
      </c>
      <c r="E28" s="1" t="s">
        <v>14</v>
      </c>
      <c r="F28" s="1">
        <v>210</v>
      </c>
      <c r="G28" s="1" t="s">
        <v>14</v>
      </c>
      <c r="H28" s="1">
        <v>199</v>
      </c>
      <c r="I28" s="1" t="s">
        <v>14</v>
      </c>
      <c r="J28" s="1">
        <v>10</v>
      </c>
      <c r="K28" s="1" t="s">
        <v>14</v>
      </c>
      <c r="L28" s="1">
        <v>0</v>
      </c>
      <c r="M28" s="1" t="s">
        <v>14</v>
      </c>
      <c r="N28" s="1">
        <v>0</v>
      </c>
      <c r="O28" s="1" t="s">
        <v>14</v>
      </c>
      <c r="P28" s="1">
        <v>223.01999999999998</v>
      </c>
      <c r="Q28" s="1" t="s">
        <v>14</v>
      </c>
      <c r="R28" s="1">
        <v>46834.2</v>
      </c>
      <c r="S28" s="1" t="s">
        <v>12</v>
      </c>
      <c r="T28" s="1" t="str">
        <f t="shared" si="0"/>
        <v>&lt;tr&gt; &lt;td&gt;7470401&lt;/td&gt;&lt;td&gt;SERVO FLEET SUPREME CI4 PLUS 15W-40- 210 L&lt;/td&gt;&lt;td&gt;210&lt;/td&gt;&lt;td&gt;199&lt;/td&gt;&lt;td&gt;10&lt;/td&gt;&lt;td&gt;0&lt;/td&gt;&lt;td&gt;0&lt;/td&gt;&lt;td&gt;223.02&lt;/td&gt;&lt;td&gt;46834.2&lt;/td&gt;&lt;/tr&gt;</v>
      </c>
    </row>
    <row r="29" spans="1:20" x14ac:dyDescent="0.3">
      <c r="A29" s="1" t="s">
        <v>13</v>
      </c>
      <c r="B29" s="1">
        <v>7472401</v>
      </c>
      <c r="C29" s="1" t="s">
        <v>14</v>
      </c>
      <c r="D29" s="1" t="s">
        <v>41</v>
      </c>
      <c r="E29" s="1" t="s">
        <v>14</v>
      </c>
      <c r="F29" s="1">
        <v>210</v>
      </c>
      <c r="G29" s="1" t="s">
        <v>14</v>
      </c>
      <c r="H29" s="1">
        <v>195</v>
      </c>
      <c r="I29" s="1" t="s">
        <v>14</v>
      </c>
      <c r="J29" s="1">
        <v>8</v>
      </c>
      <c r="K29" s="1" t="s">
        <v>14</v>
      </c>
      <c r="L29" s="1">
        <v>0</v>
      </c>
      <c r="M29" s="1" t="s">
        <v>14</v>
      </c>
      <c r="N29" s="1">
        <v>0</v>
      </c>
      <c r="O29" s="1" t="s">
        <v>14</v>
      </c>
      <c r="P29" s="1">
        <v>220.66</v>
      </c>
      <c r="Q29" s="1" t="s">
        <v>14</v>
      </c>
      <c r="R29" s="1">
        <v>46338.6</v>
      </c>
      <c r="S29" s="1" t="s">
        <v>12</v>
      </c>
      <c r="T29" s="1" t="str">
        <f t="shared" si="0"/>
        <v>&lt;tr&gt; &lt;td&gt;7472401&lt;/td&gt;&lt;td&gt;SERVO FLT CF4 15W-40-210 L BRL&lt;/td&gt;&lt;td&gt;210&lt;/td&gt;&lt;td&gt;195&lt;/td&gt;&lt;td&gt;8&lt;/td&gt;&lt;td&gt;0&lt;/td&gt;&lt;td&gt;0&lt;/td&gt;&lt;td&gt;220.66&lt;/td&gt;&lt;td&gt;46338.6&lt;/td&gt;&lt;/tr&gt;</v>
      </c>
    </row>
    <row r="30" spans="1:20" x14ac:dyDescent="0.3">
      <c r="A30" s="1" t="s">
        <v>13</v>
      </c>
      <c r="B30" s="1">
        <v>7485401</v>
      </c>
      <c r="C30" s="1" t="s">
        <v>14</v>
      </c>
      <c r="D30" s="1" t="s">
        <v>42</v>
      </c>
      <c r="E30" s="1" t="s">
        <v>14</v>
      </c>
      <c r="F30" s="1">
        <v>210</v>
      </c>
      <c r="G30" s="1" t="s">
        <v>14</v>
      </c>
      <c r="H30" s="1">
        <v>192</v>
      </c>
      <c r="I30" s="1" t="s">
        <v>14</v>
      </c>
      <c r="J30" s="1">
        <v>18</v>
      </c>
      <c r="K30" s="1" t="s">
        <v>14</v>
      </c>
      <c r="L30" s="1">
        <v>0</v>
      </c>
      <c r="M30" s="1" t="s">
        <v>14</v>
      </c>
      <c r="N30" s="1">
        <v>0</v>
      </c>
      <c r="O30" s="1" t="s">
        <v>14</v>
      </c>
      <c r="P30" s="1">
        <v>205.32</v>
      </c>
      <c r="Q30" s="1" t="s">
        <v>14</v>
      </c>
      <c r="R30" s="1">
        <v>43117.2</v>
      </c>
      <c r="S30" s="1" t="s">
        <v>12</v>
      </c>
      <c r="T30" s="1" t="str">
        <f t="shared" si="0"/>
        <v>&lt;tr&gt; &lt;td&gt;7485401&lt;/td&gt;&lt;td&gt;SERVO SUPER 20W-40 MG-210 L BRL&lt;/td&gt;&lt;td&gt;210&lt;/td&gt;&lt;td&gt;192&lt;/td&gt;&lt;td&gt;18&lt;/td&gt;&lt;td&gt;0&lt;/td&gt;&lt;td&gt;0&lt;/td&gt;&lt;td&gt;205.32&lt;/td&gt;&lt;td&gt;43117.2&lt;/td&gt;&lt;/tr&gt;</v>
      </c>
    </row>
    <row r="31" spans="1:20" x14ac:dyDescent="0.3">
      <c r="A31" s="1" t="s">
        <v>13</v>
      </c>
      <c r="B31" s="1">
        <v>7489271</v>
      </c>
      <c r="C31" s="1" t="s">
        <v>14</v>
      </c>
      <c r="D31" s="1" t="s">
        <v>43</v>
      </c>
      <c r="E31" s="1" t="s">
        <v>14</v>
      </c>
      <c r="F31" s="1">
        <v>50</v>
      </c>
      <c r="G31" s="1" t="s">
        <v>14</v>
      </c>
      <c r="H31" s="1">
        <v>251</v>
      </c>
      <c r="I31" s="1" t="s">
        <v>14</v>
      </c>
      <c r="J31" s="1">
        <v>26</v>
      </c>
      <c r="K31" s="1" t="s">
        <v>14</v>
      </c>
      <c r="L31" s="1">
        <v>0</v>
      </c>
      <c r="M31" s="1" t="s">
        <v>14</v>
      </c>
      <c r="N31" s="1">
        <v>0</v>
      </c>
      <c r="O31" s="1" t="s">
        <v>14</v>
      </c>
      <c r="P31" s="1">
        <v>265.5</v>
      </c>
      <c r="Q31" s="1" t="s">
        <v>14</v>
      </c>
      <c r="R31" s="1">
        <v>13275</v>
      </c>
      <c r="S31" s="1" t="s">
        <v>12</v>
      </c>
      <c r="T31" s="1" t="str">
        <f t="shared" si="0"/>
        <v>&lt;tr&gt; &lt;td&gt;7489271&lt;/td&gt;&lt;td&gt;SERVO PRIDE XL PLUS 15W40-50 L&lt;/td&gt;&lt;td&gt;50&lt;/td&gt;&lt;td&gt;251&lt;/td&gt;&lt;td&gt;26&lt;/td&gt;&lt;td&gt;0&lt;/td&gt;&lt;td&gt;0&lt;/td&gt;&lt;td&gt;265.5&lt;/td&gt;&lt;td&gt;13275&lt;/td&gt;&lt;/tr&gt;</v>
      </c>
    </row>
    <row r="32" spans="1:20" x14ac:dyDescent="0.3">
      <c r="A32" s="1" t="s">
        <v>13</v>
      </c>
      <c r="B32" s="1">
        <v>7489401</v>
      </c>
      <c r="C32" s="1" t="s">
        <v>14</v>
      </c>
      <c r="D32" s="1" t="s">
        <v>44</v>
      </c>
      <c r="E32" s="1" t="s">
        <v>14</v>
      </c>
      <c r="F32" s="1">
        <v>210</v>
      </c>
      <c r="G32" s="1" t="s">
        <v>14</v>
      </c>
      <c r="H32" s="1">
        <v>249</v>
      </c>
      <c r="I32" s="1" t="s">
        <v>14</v>
      </c>
      <c r="J32" s="1">
        <v>26</v>
      </c>
      <c r="K32" s="1" t="s">
        <v>14</v>
      </c>
      <c r="L32" s="1">
        <v>0</v>
      </c>
      <c r="M32" s="1" t="s">
        <v>14</v>
      </c>
      <c r="N32" s="1">
        <v>0</v>
      </c>
      <c r="O32" s="1" t="s">
        <v>14</v>
      </c>
      <c r="P32" s="1">
        <v>263.14</v>
      </c>
      <c r="Q32" s="1" t="s">
        <v>14</v>
      </c>
      <c r="R32" s="1">
        <v>55259.399999999994</v>
      </c>
      <c r="S32" s="1" t="s">
        <v>12</v>
      </c>
      <c r="T32" s="1" t="str">
        <f t="shared" si="0"/>
        <v>&lt;tr&gt; &lt;td&gt;7489401&lt;/td&gt;&lt;td&gt;SERVO PRIDE XL PLUS 15W40-210 L BRL&lt;/td&gt;&lt;td&gt;210&lt;/td&gt;&lt;td&gt;249&lt;/td&gt;&lt;td&gt;26&lt;/td&gt;&lt;td&gt;0&lt;/td&gt;&lt;td&gt;0&lt;/td&gt;&lt;td&gt;263.14&lt;/td&gt;&lt;td&gt;55259.4&lt;/td&gt;&lt;/tr&gt;</v>
      </c>
    </row>
    <row r="33" spans="1:20" x14ac:dyDescent="0.3">
      <c r="A33" s="1" t="s">
        <v>13</v>
      </c>
      <c r="B33" s="1">
        <v>7494401</v>
      </c>
      <c r="C33" s="1" t="s">
        <v>14</v>
      </c>
      <c r="D33" s="1" t="s">
        <v>45</v>
      </c>
      <c r="E33" s="1" t="s">
        <v>14</v>
      </c>
      <c r="F33" s="1">
        <v>210</v>
      </c>
      <c r="G33" s="1" t="s">
        <v>14</v>
      </c>
      <c r="H33" s="1">
        <v>214</v>
      </c>
      <c r="I33" s="1" t="s">
        <v>14</v>
      </c>
      <c r="J33" s="1">
        <v>0</v>
      </c>
      <c r="K33" s="1" t="s">
        <v>14</v>
      </c>
      <c r="L33" s="1">
        <v>0</v>
      </c>
      <c r="M33" s="1" t="s">
        <v>14</v>
      </c>
      <c r="N33" s="1">
        <v>0</v>
      </c>
      <c r="O33" s="1" t="s">
        <v>14</v>
      </c>
      <c r="P33" s="1">
        <v>252.51999999999998</v>
      </c>
      <c r="Q33" s="1" t="s">
        <v>14</v>
      </c>
      <c r="R33" s="1">
        <v>53029.2</v>
      </c>
      <c r="S33" s="1" t="s">
        <v>12</v>
      </c>
      <c r="T33" s="1" t="str">
        <f t="shared" si="0"/>
        <v>&lt;tr&gt; &lt;td&gt;7494401&lt;/td&gt;&lt;td&gt;SERVO SUP.MULT.GRD 20W-40-210 L BRL&lt;/td&gt;&lt;td&gt;210&lt;/td&gt;&lt;td&gt;214&lt;/td&gt;&lt;td&gt;0&lt;/td&gt;&lt;td&gt;0&lt;/td&gt;&lt;td&gt;0&lt;/td&gt;&lt;td&gt;252.52&lt;/td&gt;&lt;td&gt;53029.2&lt;/td&gt;&lt;/tr&gt;</v>
      </c>
    </row>
    <row r="34" spans="1:20" x14ac:dyDescent="0.3">
      <c r="A34" s="1" t="s">
        <v>13</v>
      </c>
      <c r="B34" s="1">
        <v>7577271</v>
      </c>
      <c r="C34" s="1" t="s">
        <v>14</v>
      </c>
      <c r="D34" s="1" t="s">
        <v>46</v>
      </c>
      <c r="E34" s="1" t="s">
        <v>14</v>
      </c>
      <c r="F34" s="1">
        <v>50</v>
      </c>
      <c r="G34" s="1" t="s">
        <v>14</v>
      </c>
      <c r="H34" s="1">
        <v>218</v>
      </c>
      <c r="I34" s="1" t="s">
        <v>14</v>
      </c>
      <c r="J34" s="1">
        <v>16</v>
      </c>
      <c r="K34" s="1" t="s">
        <v>14</v>
      </c>
      <c r="L34" s="1">
        <v>0</v>
      </c>
      <c r="M34" s="1" t="s">
        <v>14</v>
      </c>
      <c r="N34" s="1">
        <v>0</v>
      </c>
      <c r="O34" s="1" t="s">
        <v>14</v>
      </c>
      <c r="P34" s="1">
        <v>238.35999999999999</v>
      </c>
      <c r="Q34" s="1" t="s">
        <v>14</v>
      </c>
      <c r="R34" s="1">
        <v>11918</v>
      </c>
      <c r="S34" s="1" t="s">
        <v>12</v>
      </c>
      <c r="T34" s="1" t="str">
        <f t="shared" si="0"/>
        <v>&lt;tr&gt; &lt;td&gt;7577271&lt;/td&gt;&lt;td&gt;SERVO PREMIUM CF-4 15W-40-50L HDPE DRUM&lt;/td&gt;&lt;td&gt;50&lt;/td&gt;&lt;td&gt;218&lt;/td&gt;&lt;td&gt;16&lt;/td&gt;&lt;td&gt;0&lt;/td&gt;&lt;td&gt;0&lt;/td&gt;&lt;td&gt;238.36&lt;/td&gt;&lt;td&gt;11918&lt;/td&gt;&lt;/tr&gt;</v>
      </c>
    </row>
    <row r="35" spans="1:20" x14ac:dyDescent="0.3">
      <c r="A35" s="1" t="s">
        <v>13</v>
      </c>
      <c r="B35" s="1">
        <v>7577401</v>
      </c>
      <c r="C35" s="1" t="s">
        <v>14</v>
      </c>
      <c r="D35" s="1" t="s">
        <v>47</v>
      </c>
      <c r="E35" s="1" t="s">
        <v>14</v>
      </c>
      <c r="F35" s="1">
        <v>210</v>
      </c>
      <c r="G35" s="1" t="s">
        <v>14</v>
      </c>
      <c r="H35" s="1">
        <v>217</v>
      </c>
      <c r="I35" s="1" t="s">
        <v>14</v>
      </c>
      <c r="J35" s="1">
        <v>16</v>
      </c>
      <c r="K35" s="1" t="s">
        <v>14</v>
      </c>
      <c r="L35" s="1">
        <v>0</v>
      </c>
      <c r="M35" s="1" t="s">
        <v>14</v>
      </c>
      <c r="N35" s="1">
        <v>0</v>
      </c>
      <c r="O35" s="1" t="s">
        <v>14</v>
      </c>
      <c r="P35" s="1">
        <v>237.17999999999998</v>
      </c>
      <c r="Q35" s="1" t="s">
        <v>14</v>
      </c>
      <c r="R35" s="1">
        <v>49807.799999999996</v>
      </c>
      <c r="S35" s="1" t="s">
        <v>12</v>
      </c>
      <c r="T35" s="1" t="str">
        <f t="shared" si="0"/>
        <v>&lt;tr&gt; &lt;td&gt;7577401&lt;/td&gt;&lt;td&gt;SERVO PREMIUM CF-4 15W-40 - 210L BRL&lt;/td&gt;&lt;td&gt;210&lt;/td&gt;&lt;td&gt;217&lt;/td&gt;&lt;td&gt;16&lt;/td&gt;&lt;td&gt;0&lt;/td&gt;&lt;td&gt;0&lt;/td&gt;&lt;td&gt;237.18&lt;/td&gt;&lt;td&gt;49807.8&lt;/td&gt;&lt;/tr&gt;</v>
      </c>
    </row>
    <row r="36" spans="1:20" x14ac:dyDescent="0.3">
      <c r="A36" s="1" t="s">
        <v>13</v>
      </c>
      <c r="B36" s="1">
        <v>7612401</v>
      </c>
      <c r="C36" s="1" t="s">
        <v>14</v>
      </c>
      <c r="D36" s="1" t="s">
        <v>48</v>
      </c>
      <c r="E36" s="1" t="s">
        <v>14</v>
      </c>
      <c r="F36" s="1">
        <v>210</v>
      </c>
      <c r="G36" s="1" t="s">
        <v>14</v>
      </c>
      <c r="H36" s="1">
        <v>224</v>
      </c>
      <c r="I36" s="1" t="s">
        <v>14</v>
      </c>
      <c r="J36" s="1">
        <v>20</v>
      </c>
      <c r="K36" s="1" t="s">
        <v>14</v>
      </c>
      <c r="L36" s="1">
        <v>0</v>
      </c>
      <c r="M36" s="1" t="s">
        <v>14</v>
      </c>
      <c r="N36" s="1">
        <v>0</v>
      </c>
      <c r="O36" s="1" t="s">
        <v>14</v>
      </c>
      <c r="P36" s="1">
        <v>240.72</v>
      </c>
      <c r="Q36" s="1" t="s">
        <v>14</v>
      </c>
      <c r="R36" s="1">
        <v>50551.199999999997</v>
      </c>
      <c r="S36" s="1" t="s">
        <v>12</v>
      </c>
      <c r="T36" s="1" t="str">
        <f t="shared" si="0"/>
        <v>&lt;tr&gt; &lt;td&gt;7612401&lt;/td&gt;&lt;td&gt;SERVO PRIDE XL 15W-40 - 210L BRL&lt;/td&gt;&lt;td&gt;210&lt;/td&gt;&lt;td&gt;224&lt;/td&gt;&lt;td&gt;20&lt;/td&gt;&lt;td&gt;0&lt;/td&gt;&lt;td&gt;0&lt;/td&gt;&lt;td&gt;240.72&lt;/td&gt;&lt;td&gt;50551.2&lt;/td&gt;&lt;/tr&gt;</v>
      </c>
    </row>
    <row r="37" spans="1:20" x14ac:dyDescent="0.3">
      <c r="A37" s="1" t="s">
        <v>13</v>
      </c>
      <c r="B37" s="1">
        <v>2502401</v>
      </c>
      <c r="C37" s="1" t="s">
        <v>14</v>
      </c>
      <c r="D37" s="1" t="s">
        <v>49</v>
      </c>
      <c r="E37" s="1" t="s">
        <v>14</v>
      </c>
      <c r="F37" s="1">
        <v>210</v>
      </c>
      <c r="G37" s="1" t="s">
        <v>14</v>
      </c>
      <c r="H37" s="1">
        <v>229</v>
      </c>
      <c r="I37" s="1" t="s">
        <v>14</v>
      </c>
      <c r="J37" s="1">
        <v>21</v>
      </c>
      <c r="K37" s="1" t="s">
        <v>14</v>
      </c>
      <c r="L37" s="1">
        <v>0</v>
      </c>
      <c r="M37" s="1" t="s">
        <v>14</v>
      </c>
      <c r="N37" s="1">
        <v>0</v>
      </c>
      <c r="O37" s="1" t="s">
        <v>14</v>
      </c>
      <c r="P37" s="1">
        <v>245.44</v>
      </c>
      <c r="Q37" s="1" t="s">
        <v>14</v>
      </c>
      <c r="R37" s="1">
        <v>51542.400000000001</v>
      </c>
      <c r="S37" s="1" t="s">
        <v>12</v>
      </c>
      <c r="T37" s="1" t="str">
        <f t="shared" si="0"/>
        <v>&lt;tr&gt; &lt;td&gt;2502401&lt;/td&gt;&lt;td&gt;SERVO GEAR HP 90 - 210L BRL&lt;/td&gt;&lt;td&gt;210&lt;/td&gt;&lt;td&gt;229&lt;/td&gt;&lt;td&gt;21&lt;/td&gt;&lt;td&gt;0&lt;/td&gt;&lt;td&gt;0&lt;/td&gt;&lt;td&gt;245.44&lt;/td&gt;&lt;td&gt;51542.4&lt;/td&gt;&lt;/tr&gt;</v>
      </c>
    </row>
    <row r="38" spans="1:20" x14ac:dyDescent="0.3">
      <c r="A38" s="1" t="s">
        <v>13</v>
      </c>
      <c r="B38" s="1">
        <v>2503401</v>
      </c>
      <c r="C38" s="1" t="s">
        <v>14</v>
      </c>
      <c r="D38" s="1" t="s">
        <v>50</v>
      </c>
      <c r="E38" s="1" t="s">
        <v>14</v>
      </c>
      <c r="F38" s="1">
        <v>210</v>
      </c>
      <c r="G38" s="1" t="s">
        <v>14</v>
      </c>
      <c r="H38" s="1">
        <v>245</v>
      </c>
      <c r="I38" s="1" t="s">
        <v>14</v>
      </c>
      <c r="J38" s="1">
        <v>16</v>
      </c>
      <c r="K38" s="1" t="s">
        <v>14</v>
      </c>
      <c r="L38" s="1">
        <v>0</v>
      </c>
      <c r="M38" s="1" t="s">
        <v>14</v>
      </c>
      <c r="N38" s="1">
        <v>0</v>
      </c>
      <c r="O38" s="1" t="s">
        <v>14</v>
      </c>
      <c r="P38" s="1">
        <v>270.21999999999997</v>
      </c>
      <c r="Q38" s="1" t="s">
        <v>14</v>
      </c>
      <c r="R38" s="1">
        <v>56746.2</v>
      </c>
      <c r="S38" s="1" t="s">
        <v>12</v>
      </c>
      <c r="T38" s="1" t="str">
        <f t="shared" si="0"/>
        <v>&lt;tr&gt; &lt;td&gt;2503401&lt;/td&gt;&lt;td&gt;SERVO GEAR HP 140-210L BRL&lt;/td&gt;&lt;td&gt;210&lt;/td&gt;&lt;td&gt;245&lt;/td&gt;&lt;td&gt;16&lt;/td&gt;&lt;td&gt;0&lt;/td&gt;&lt;td&gt;0&lt;/td&gt;&lt;td&gt;270.22&lt;/td&gt;&lt;td&gt;56746.2&lt;/td&gt;&lt;/tr&gt;</v>
      </c>
    </row>
    <row r="39" spans="1:20" x14ac:dyDescent="0.3">
      <c r="A39" s="1" t="s">
        <v>13</v>
      </c>
      <c r="B39" s="1">
        <v>4906401</v>
      </c>
      <c r="C39" s="1" t="s">
        <v>14</v>
      </c>
      <c r="D39" s="1" t="s">
        <v>51</v>
      </c>
      <c r="E39" s="1" t="s">
        <v>14</v>
      </c>
      <c r="F39" s="1">
        <v>210</v>
      </c>
      <c r="G39" s="1" t="s">
        <v>14</v>
      </c>
      <c r="H39" s="1">
        <v>188</v>
      </c>
      <c r="I39" s="1" t="s">
        <v>14</v>
      </c>
      <c r="J39" s="1">
        <v>16</v>
      </c>
      <c r="K39" s="1" t="s">
        <v>14</v>
      </c>
      <c r="L39" s="1">
        <v>0</v>
      </c>
      <c r="M39" s="1" t="s">
        <v>14</v>
      </c>
      <c r="N39" s="1">
        <v>0</v>
      </c>
      <c r="O39" s="1" t="s">
        <v>14</v>
      </c>
      <c r="P39" s="1">
        <v>202.95999999999998</v>
      </c>
      <c r="Q39" s="1" t="s">
        <v>14</v>
      </c>
      <c r="R39" s="1">
        <v>42621.599999999999</v>
      </c>
      <c r="S39" s="1" t="s">
        <v>12</v>
      </c>
      <c r="T39" s="1" t="str">
        <f t="shared" si="0"/>
        <v>&lt;tr&gt; &lt;td&gt;4906401&lt;/td&gt;&lt;td&gt;SERVO TRANSFLUID A - 210L BRL&lt;/td&gt;&lt;td&gt;210&lt;/td&gt;&lt;td&gt;188&lt;/td&gt;&lt;td&gt;16&lt;/td&gt;&lt;td&gt;0&lt;/td&gt;&lt;td&gt;0&lt;/td&gt;&lt;td&gt;202.96&lt;/td&gt;&lt;td&gt;42621.6&lt;/td&gt;&lt;/tr&gt;</v>
      </c>
    </row>
    <row r="40" spans="1:20" x14ac:dyDescent="0.3">
      <c r="A40" s="1" t="s">
        <v>13</v>
      </c>
      <c r="B40" s="1">
        <v>4925401</v>
      </c>
      <c r="C40" s="1" t="s">
        <v>14</v>
      </c>
      <c r="D40" s="1" t="s">
        <v>52</v>
      </c>
      <c r="E40" s="1" t="s">
        <v>14</v>
      </c>
      <c r="F40" s="1">
        <v>210</v>
      </c>
      <c r="G40" s="1" t="s">
        <v>14</v>
      </c>
      <c r="H40" s="1">
        <v>200</v>
      </c>
      <c r="I40" s="1" t="s">
        <v>14</v>
      </c>
      <c r="J40" s="1">
        <v>6</v>
      </c>
      <c r="K40" s="1" t="s">
        <v>14</v>
      </c>
      <c r="L40" s="1">
        <v>0</v>
      </c>
      <c r="M40" s="1" t="s">
        <v>14</v>
      </c>
      <c r="N40" s="1">
        <v>0</v>
      </c>
      <c r="O40" s="1" t="s">
        <v>14</v>
      </c>
      <c r="P40" s="1">
        <v>228.92</v>
      </c>
      <c r="Q40" s="1" t="s">
        <v>14</v>
      </c>
      <c r="R40" s="1">
        <v>48073.2</v>
      </c>
      <c r="S40" s="1" t="s">
        <v>12</v>
      </c>
      <c r="T40" s="1" t="str">
        <f t="shared" si="0"/>
        <v>&lt;tr&gt; &lt;td&gt;4925401&lt;/td&gt;&lt;td&gt;SERVO TRANSMISSION C4 SAE 30-210L BRL&lt;/td&gt;&lt;td&gt;210&lt;/td&gt;&lt;td&gt;200&lt;/td&gt;&lt;td&gt;6&lt;/td&gt;&lt;td&gt;0&lt;/td&gt;&lt;td&gt;0&lt;/td&gt;&lt;td&gt;228.92&lt;/td&gt;&lt;td&gt;48073.2&lt;/td&gt;&lt;/tr&gt;</v>
      </c>
    </row>
    <row r="41" spans="1:20" x14ac:dyDescent="0.3">
      <c r="A41" s="1" t="s">
        <v>13</v>
      </c>
      <c r="B41" s="1">
        <v>7511401</v>
      </c>
      <c r="C41" s="1" t="s">
        <v>14</v>
      </c>
      <c r="D41" s="1" t="s">
        <v>53</v>
      </c>
      <c r="E41" s="1" t="s">
        <v>14</v>
      </c>
      <c r="F41" s="1">
        <v>210</v>
      </c>
      <c r="G41" s="1" t="s">
        <v>14</v>
      </c>
      <c r="H41" s="1">
        <v>238</v>
      </c>
      <c r="I41" s="1" t="s">
        <v>14</v>
      </c>
      <c r="J41" s="1">
        <v>21</v>
      </c>
      <c r="K41" s="1" t="s">
        <v>14</v>
      </c>
      <c r="L41" s="1">
        <v>0</v>
      </c>
      <c r="M41" s="1" t="s">
        <v>14</v>
      </c>
      <c r="N41" s="1">
        <v>0</v>
      </c>
      <c r="O41" s="1" t="s">
        <v>14</v>
      </c>
      <c r="P41" s="1">
        <v>256.06</v>
      </c>
      <c r="Q41" s="1" t="s">
        <v>14</v>
      </c>
      <c r="R41" s="1">
        <v>53772.6</v>
      </c>
      <c r="S41" s="1" t="s">
        <v>12</v>
      </c>
      <c r="T41" s="1" t="str">
        <f t="shared" si="0"/>
        <v>&lt;tr&gt; &lt;td&gt;7511401&lt;/td&gt;&lt;td&gt;SERVO GEAR SUPER 80W-90 - 210L BRL&lt;/td&gt;&lt;td&gt;210&lt;/td&gt;&lt;td&gt;238&lt;/td&gt;&lt;td&gt;21&lt;/td&gt;&lt;td&gt;0&lt;/td&gt;&lt;td&gt;0&lt;/td&gt;&lt;td&gt;256.06&lt;/td&gt;&lt;td&gt;53772.6&lt;/td&gt;&lt;/tr&gt;</v>
      </c>
    </row>
    <row r="42" spans="1:20" x14ac:dyDescent="0.3">
      <c r="A42" s="1" t="s">
        <v>13</v>
      </c>
      <c r="B42" s="1">
        <v>7515401</v>
      </c>
      <c r="C42" s="1" t="s">
        <v>14</v>
      </c>
      <c r="D42" s="1" t="s">
        <v>54</v>
      </c>
      <c r="E42" s="1" t="s">
        <v>14</v>
      </c>
      <c r="F42" s="1">
        <v>210</v>
      </c>
      <c r="G42" s="1" t="s">
        <v>14</v>
      </c>
      <c r="H42" s="1">
        <v>251</v>
      </c>
      <c r="I42" s="1" t="s">
        <v>14</v>
      </c>
      <c r="J42" s="1">
        <v>26</v>
      </c>
      <c r="K42" s="1" t="s">
        <v>14</v>
      </c>
      <c r="L42" s="1">
        <v>0</v>
      </c>
      <c r="M42" s="1" t="s">
        <v>14</v>
      </c>
      <c r="N42" s="1">
        <v>0</v>
      </c>
      <c r="O42" s="1" t="s">
        <v>14</v>
      </c>
      <c r="P42" s="1">
        <v>265.5</v>
      </c>
      <c r="Q42" s="1" t="s">
        <v>14</v>
      </c>
      <c r="R42" s="1">
        <v>55755</v>
      </c>
      <c r="S42" s="1" t="s">
        <v>12</v>
      </c>
      <c r="T42" s="1" t="str">
        <f t="shared" si="0"/>
        <v>&lt;tr&gt; &lt;td&gt;7515401&lt;/td&gt;&lt;td&gt;SERVO GEAR SUPER 85W-140-210L BRL&lt;/td&gt;&lt;td&gt;210&lt;/td&gt;&lt;td&gt;251&lt;/td&gt;&lt;td&gt;26&lt;/td&gt;&lt;td&gt;0&lt;/td&gt;&lt;td&gt;0&lt;/td&gt;&lt;td&gt;265.5&lt;/td&gt;&lt;td&gt;55755&lt;/td&gt;&lt;/tr&gt;</v>
      </c>
    </row>
    <row r="43" spans="1:20" x14ac:dyDescent="0.3">
      <c r="A43" s="1" t="s">
        <v>13</v>
      </c>
      <c r="B43" s="1">
        <v>4950288</v>
      </c>
      <c r="C43" s="1" t="s">
        <v>14</v>
      </c>
      <c r="D43" s="1" t="s">
        <v>55</v>
      </c>
      <c r="E43" s="1" t="s">
        <v>14</v>
      </c>
      <c r="F43" s="1">
        <v>26</v>
      </c>
      <c r="G43" s="1" t="s">
        <v>14</v>
      </c>
      <c r="H43" s="1">
        <v>212</v>
      </c>
      <c r="I43" s="1" t="s">
        <v>14</v>
      </c>
      <c r="J43" s="1">
        <v>46</v>
      </c>
      <c r="K43" s="1" t="s">
        <v>14</v>
      </c>
      <c r="L43" s="1">
        <v>0</v>
      </c>
      <c r="M43" s="1" t="s">
        <v>14</v>
      </c>
      <c r="N43" s="1">
        <v>0</v>
      </c>
      <c r="O43" s="1" t="s">
        <v>14</v>
      </c>
      <c r="P43" s="1">
        <v>195.88</v>
      </c>
      <c r="Q43" s="1" t="s">
        <v>14</v>
      </c>
      <c r="R43" s="1">
        <v>5092.88</v>
      </c>
      <c r="S43" s="1" t="s">
        <v>12</v>
      </c>
      <c r="T43" s="1" t="str">
        <f t="shared" si="0"/>
        <v>&lt;tr&gt; &lt;td&gt;4950288&lt;/td&gt;&lt;td&gt;SERVO OIB OIL-26 L &lt;/td&gt;&lt;td&gt;26&lt;/td&gt;&lt;td&gt;212&lt;/td&gt;&lt;td&gt;46&lt;/td&gt;&lt;td&gt;0&lt;/td&gt;&lt;td&gt;0&lt;/td&gt;&lt;td&gt;195.88&lt;/td&gt;&lt;td&gt;5092.88&lt;/td&gt;&lt;/tr&gt;</v>
      </c>
    </row>
    <row r="44" spans="1:20" x14ac:dyDescent="0.3">
      <c r="A44" s="1" t="s">
        <v>13</v>
      </c>
      <c r="B44" s="1">
        <v>4950401</v>
      </c>
      <c r="C44" s="1" t="s">
        <v>14</v>
      </c>
      <c r="D44" s="1" t="s">
        <v>56</v>
      </c>
      <c r="E44" s="1" t="s">
        <v>14</v>
      </c>
      <c r="F44" s="1">
        <v>210</v>
      </c>
      <c r="G44" s="1" t="s">
        <v>14</v>
      </c>
      <c r="H44" s="1">
        <v>198</v>
      </c>
      <c r="I44" s="1" t="s">
        <v>14</v>
      </c>
      <c r="J44" s="1">
        <v>0</v>
      </c>
      <c r="K44" s="1" t="s">
        <v>14</v>
      </c>
      <c r="L44" s="1">
        <v>0</v>
      </c>
      <c r="M44" s="1" t="s">
        <v>14</v>
      </c>
      <c r="N44" s="1">
        <v>0</v>
      </c>
      <c r="O44" s="1" t="s">
        <v>14</v>
      </c>
      <c r="P44" s="1">
        <v>233.64</v>
      </c>
      <c r="Q44" s="1" t="s">
        <v>14</v>
      </c>
      <c r="R44" s="1">
        <v>49064.399999999994</v>
      </c>
      <c r="S44" s="1" t="s">
        <v>12</v>
      </c>
      <c r="T44" s="1" t="str">
        <f t="shared" si="0"/>
        <v>&lt;tr&gt; &lt;td&gt;4950401&lt;/td&gt;&lt;td&gt;SERVO OIB OIL-210 L BRL&lt;/td&gt;&lt;td&gt;210&lt;/td&gt;&lt;td&gt;198&lt;/td&gt;&lt;td&gt;0&lt;/td&gt;&lt;td&gt;0&lt;/td&gt;&lt;td&gt;0&lt;/td&gt;&lt;td&gt;233.64&lt;/td&gt;&lt;td&gt;49064.4&lt;/td&gt;&lt;/tr&gt;</v>
      </c>
    </row>
    <row r="45" spans="1:20" x14ac:dyDescent="0.3">
      <c r="A45" s="1" t="s">
        <v>13</v>
      </c>
      <c r="B45" s="1">
        <v>7651401</v>
      </c>
      <c r="C45" s="1" t="s">
        <v>14</v>
      </c>
      <c r="D45" s="1" t="s">
        <v>57</v>
      </c>
      <c r="E45" s="1" t="s">
        <v>14</v>
      </c>
      <c r="F45" s="1">
        <v>210</v>
      </c>
      <c r="G45" s="1" t="s">
        <v>14</v>
      </c>
      <c r="H45" s="1">
        <v>158</v>
      </c>
      <c r="I45" s="1" t="s">
        <v>14</v>
      </c>
      <c r="J45" s="1">
        <v>0</v>
      </c>
      <c r="K45" s="1" t="s">
        <v>14</v>
      </c>
      <c r="L45" s="1">
        <v>0</v>
      </c>
      <c r="M45" s="1" t="s">
        <v>14</v>
      </c>
      <c r="N45" s="1">
        <v>0</v>
      </c>
      <c r="O45" s="1" t="s">
        <v>14</v>
      </c>
      <c r="P45" s="1">
        <v>186.44</v>
      </c>
      <c r="Q45" s="1" t="s">
        <v>14</v>
      </c>
      <c r="R45" s="1">
        <v>39152.400000000001</v>
      </c>
      <c r="S45" s="1" t="s">
        <v>12</v>
      </c>
      <c r="T45" s="1" t="str">
        <f t="shared" si="0"/>
        <v>&lt;tr&gt; &lt;td&gt;7651401&lt;/td&gt;&lt;td&gt;SERVO AGROSPRAY T - 210L BRL&lt;/td&gt;&lt;td&gt;210&lt;/td&gt;&lt;td&gt;158&lt;/td&gt;&lt;td&gt;0&lt;/td&gt;&lt;td&gt;0&lt;/td&gt;&lt;td&gt;0&lt;/td&gt;&lt;td&gt;186.44&lt;/td&gt;&lt;td&gt;39152.4&lt;/td&gt;&lt;/tr&gt;</v>
      </c>
    </row>
    <row r="46" spans="1:20" x14ac:dyDescent="0.3">
      <c r="A46" s="1" t="s">
        <v>13</v>
      </c>
      <c r="B46" s="1">
        <v>2900401</v>
      </c>
      <c r="C46" s="1" t="s">
        <v>14</v>
      </c>
      <c r="D46" s="1" t="s">
        <v>58</v>
      </c>
      <c r="E46" s="1" t="s">
        <v>14</v>
      </c>
      <c r="F46" s="1">
        <v>210</v>
      </c>
      <c r="G46" s="1" t="s">
        <v>14</v>
      </c>
      <c r="H46" s="1">
        <v>238.98</v>
      </c>
      <c r="I46" s="1" t="s">
        <v>14</v>
      </c>
      <c r="J46" s="1">
        <v>0</v>
      </c>
      <c r="K46" s="1" t="s">
        <v>14</v>
      </c>
      <c r="L46" s="1">
        <v>0</v>
      </c>
      <c r="M46" s="1" t="s">
        <v>14</v>
      </c>
      <c r="N46" s="1">
        <v>0</v>
      </c>
      <c r="O46" s="1" t="s">
        <v>14</v>
      </c>
      <c r="P46" s="1">
        <v>238.98</v>
      </c>
      <c r="Q46" s="1" t="s">
        <v>14</v>
      </c>
      <c r="R46" s="1">
        <v>50185.799999999996</v>
      </c>
      <c r="S46" s="1" t="s">
        <v>12</v>
      </c>
      <c r="T46" s="1" t="str">
        <f t="shared" si="0"/>
        <v>&lt;tr&gt; &lt;td&gt;2900401&lt;/td&gt;&lt;td&gt;SERVO 2T SUPREME-210 L BRL&lt;/td&gt;&lt;td&gt;210&lt;/td&gt;&lt;td&gt;238.98&lt;/td&gt;&lt;td&gt;0&lt;/td&gt;&lt;td&gt;0&lt;/td&gt;&lt;td&gt;0&lt;/td&gt;&lt;td&gt;238.98&lt;/td&gt;&lt;td&gt;50185.8&lt;/td&gt;&lt;/tr&gt;</v>
      </c>
    </row>
    <row r="47" spans="1:20" x14ac:dyDescent="0.3">
      <c r="A47" s="1" t="s">
        <v>13</v>
      </c>
      <c r="B47" s="1">
        <v>2900403</v>
      </c>
      <c r="C47" s="1" t="s">
        <v>14</v>
      </c>
      <c r="D47" s="1" t="s">
        <v>59</v>
      </c>
      <c r="E47" s="1" t="s">
        <v>14</v>
      </c>
      <c r="F47" s="1">
        <v>210</v>
      </c>
      <c r="G47" s="1" t="s">
        <v>14</v>
      </c>
      <c r="H47" s="1">
        <v>238.98</v>
      </c>
      <c r="I47" s="1" t="s">
        <v>14</v>
      </c>
      <c r="J47" s="1">
        <v>0</v>
      </c>
      <c r="K47" s="1" t="s">
        <v>14</v>
      </c>
      <c r="L47" s="1">
        <v>0</v>
      </c>
      <c r="M47" s="1" t="s">
        <v>14</v>
      </c>
      <c r="N47" s="1">
        <v>0</v>
      </c>
      <c r="O47" s="1" t="s">
        <v>14</v>
      </c>
      <c r="P47" s="1">
        <v>238.98</v>
      </c>
      <c r="Q47" s="1" t="s">
        <v>14</v>
      </c>
      <c r="R47" s="1">
        <v>50185.799999999996</v>
      </c>
      <c r="S47" s="1" t="s">
        <v>12</v>
      </c>
      <c r="T47" s="1" t="str">
        <f t="shared" si="0"/>
        <v>&lt;tr&gt; &lt;td&gt;2900403&lt;/td&gt;&lt;td&gt;SERVO 2T SUPREME-210 L HD&lt;/td&gt;&lt;td&gt;210&lt;/td&gt;&lt;td&gt;238.98&lt;/td&gt;&lt;td&gt;0&lt;/td&gt;&lt;td&gt;0&lt;/td&gt;&lt;td&gt;0&lt;/td&gt;&lt;td&gt;238.98&lt;/td&gt;&lt;td&gt;50185.8&lt;/td&gt;&lt;/tr&gt;</v>
      </c>
    </row>
    <row r="48" spans="1:20" x14ac:dyDescent="0.3">
      <c r="A48" s="1" t="s">
        <v>13</v>
      </c>
      <c r="B48" s="1">
        <v>7701451</v>
      </c>
      <c r="C48" s="1" t="s">
        <v>14</v>
      </c>
      <c r="D48" s="1" t="s">
        <v>60</v>
      </c>
      <c r="E48" s="1" t="s">
        <v>14</v>
      </c>
      <c r="F48" s="1">
        <v>182</v>
      </c>
      <c r="G48" s="1" t="s">
        <v>14</v>
      </c>
      <c r="H48" s="1">
        <v>260</v>
      </c>
      <c r="I48" s="1" t="s">
        <v>14</v>
      </c>
      <c r="J48" s="1">
        <v>26</v>
      </c>
      <c r="K48" s="1" t="s">
        <v>14</v>
      </c>
      <c r="L48" s="1">
        <v>0</v>
      </c>
      <c r="M48" s="1" t="s">
        <v>14</v>
      </c>
      <c r="N48" s="1">
        <v>0</v>
      </c>
      <c r="O48" s="1" t="s">
        <v>14</v>
      </c>
      <c r="P48" s="1">
        <v>276.12</v>
      </c>
      <c r="Q48" s="1" t="s">
        <v>14</v>
      </c>
      <c r="R48" s="1">
        <v>50253.840000000004</v>
      </c>
      <c r="S48" s="1" t="s">
        <v>12</v>
      </c>
      <c r="T48" s="1" t="str">
        <f t="shared" si="0"/>
        <v>&lt;tr&gt; &lt;td&gt;7701451&lt;/td&gt;&lt;td&gt;SERVO GREASE MP-182 KG DRM&lt;/td&gt;&lt;td&gt;182&lt;/td&gt;&lt;td&gt;260&lt;/td&gt;&lt;td&gt;26&lt;/td&gt;&lt;td&gt;0&lt;/td&gt;&lt;td&gt;0&lt;/td&gt;&lt;td&gt;276.12&lt;/td&gt;&lt;td&gt;50253.84&lt;/td&gt;&lt;/tr&gt;</v>
      </c>
    </row>
    <row r="49" spans="1:20" x14ac:dyDescent="0.3">
      <c r="A49" s="1" t="s">
        <v>13</v>
      </c>
      <c r="B49" s="1">
        <v>7705451</v>
      </c>
      <c r="C49" s="1" t="s">
        <v>14</v>
      </c>
      <c r="D49" s="1" t="s">
        <v>61</v>
      </c>
      <c r="E49" s="1" t="s">
        <v>14</v>
      </c>
      <c r="F49" s="1">
        <v>182</v>
      </c>
      <c r="G49" s="1" t="s">
        <v>14</v>
      </c>
      <c r="H49" s="1">
        <v>270</v>
      </c>
      <c r="I49" s="1" t="s">
        <v>14</v>
      </c>
      <c r="J49" s="1">
        <v>35</v>
      </c>
      <c r="K49" s="1" t="s">
        <v>14</v>
      </c>
      <c r="L49" s="1">
        <v>0</v>
      </c>
      <c r="M49" s="1" t="s">
        <v>14</v>
      </c>
      <c r="N49" s="1">
        <v>0</v>
      </c>
      <c r="O49" s="1" t="s">
        <v>14</v>
      </c>
      <c r="P49" s="1">
        <v>277.3</v>
      </c>
      <c r="Q49" s="1" t="s">
        <v>14</v>
      </c>
      <c r="R49" s="1">
        <v>50468.6</v>
      </c>
      <c r="S49" s="1" t="s">
        <v>12</v>
      </c>
      <c r="T49" s="1" t="str">
        <f t="shared" si="0"/>
        <v>&lt;tr&gt; &lt;td&gt;7705451&lt;/td&gt;&lt;td&gt;SERVOGREASE MP 3 - 182 KG DRM&lt;/td&gt;&lt;td&gt;182&lt;/td&gt;&lt;td&gt;270&lt;/td&gt;&lt;td&gt;35&lt;/td&gt;&lt;td&gt;0&lt;/td&gt;&lt;td&gt;0&lt;/td&gt;&lt;td&gt;277.3&lt;/td&gt;&lt;td&gt;50468.6&lt;/td&gt;&lt;/tr&gt;</v>
      </c>
    </row>
    <row r="50" spans="1:20" x14ac:dyDescent="0.3">
      <c r="A50" s="1" t="s">
        <v>13</v>
      </c>
      <c r="B50" s="1">
        <v>7727451</v>
      </c>
      <c r="C50" s="1" t="s">
        <v>14</v>
      </c>
      <c r="D50" s="1" t="s">
        <v>62</v>
      </c>
      <c r="E50" s="1" t="s">
        <v>14</v>
      </c>
      <c r="F50" s="1">
        <v>182</v>
      </c>
      <c r="G50" s="1" t="s">
        <v>14</v>
      </c>
      <c r="H50" s="1">
        <v>370</v>
      </c>
      <c r="I50" s="1" t="s">
        <v>14</v>
      </c>
      <c r="J50" s="1">
        <v>55</v>
      </c>
      <c r="K50" s="1" t="s">
        <v>14</v>
      </c>
      <c r="L50" s="1">
        <v>0</v>
      </c>
      <c r="M50" s="1" t="s">
        <v>14</v>
      </c>
      <c r="N50" s="1">
        <v>0</v>
      </c>
      <c r="O50" s="1" t="s">
        <v>14</v>
      </c>
      <c r="P50" s="1">
        <v>371.7</v>
      </c>
      <c r="Q50" s="1" t="s">
        <v>14</v>
      </c>
      <c r="R50" s="1">
        <v>67649.399999999994</v>
      </c>
      <c r="S50" s="1" t="s">
        <v>12</v>
      </c>
      <c r="T50" s="1" t="str">
        <f t="shared" si="0"/>
        <v>&lt;tr&gt; &lt;td&gt;7727451&lt;/td&gt;&lt;td&gt;SERVO GEM RR 3-182 KG DRM&lt;/td&gt;&lt;td&gt;182&lt;/td&gt;&lt;td&gt;370&lt;/td&gt;&lt;td&gt;55&lt;/td&gt;&lt;td&gt;0&lt;/td&gt;&lt;td&gt;0&lt;/td&gt;&lt;td&gt;371.7&lt;/td&gt;&lt;td&gt;67649.4&lt;/td&gt;&lt;/tr&gt;</v>
      </c>
    </row>
    <row r="51" spans="1:20" x14ac:dyDescent="0.3">
      <c r="A51" s="1" t="s">
        <v>13</v>
      </c>
      <c r="B51" s="1">
        <v>7849451</v>
      </c>
      <c r="C51" s="1" t="s">
        <v>14</v>
      </c>
      <c r="D51" s="1" t="s">
        <v>63</v>
      </c>
      <c r="E51" s="1" t="s">
        <v>14</v>
      </c>
      <c r="F51" s="1">
        <v>182</v>
      </c>
      <c r="G51" s="1" t="s">
        <v>14</v>
      </c>
      <c r="H51" s="1">
        <v>355</v>
      </c>
      <c r="I51" s="1" t="s">
        <v>14</v>
      </c>
      <c r="J51" s="1">
        <v>23</v>
      </c>
      <c r="K51" s="1" t="s">
        <v>14</v>
      </c>
      <c r="L51" s="1">
        <v>0</v>
      </c>
      <c r="M51" s="1" t="s">
        <v>14</v>
      </c>
      <c r="N51" s="1">
        <v>0</v>
      </c>
      <c r="O51" s="1" t="s">
        <v>14</v>
      </c>
      <c r="P51" s="1">
        <v>391.76</v>
      </c>
      <c r="Q51" s="1" t="s">
        <v>14</v>
      </c>
      <c r="R51" s="1">
        <v>71300.319999999992</v>
      </c>
      <c r="S51" s="1" t="s">
        <v>12</v>
      </c>
      <c r="T51" s="1" t="str">
        <f t="shared" si="0"/>
        <v>&lt;tr&gt; &lt;td&gt;7849451&lt;/td&gt;&lt;td&gt;SERVO LONG LIFE GREASE-182 KG DRM&lt;/td&gt;&lt;td&gt;182&lt;/td&gt;&lt;td&gt;355&lt;/td&gt;&lt;td&gt;23&lt;/td&gt;&lt;td&gt;0&lt;/td&gt;&lt;td&gt;0&lt;/td&gt;&lt;td&gt;391.76&lt;/td&gt;&lt;td&gt;71300.32&lt;/td&gt;&lt;/tr&gt;</v>
      </c>
    </row>
    <row r="52" spans="1:20" x14ac:dyDescent="0.3">
      <c r="A52" s="1" t="s">
        <v>13</v>
      </c>
      <c r="B52" s="1">
        <v>7903451</v>
      </c>
      <c r="C52" s="1" t="s">
        <v>14</v>
      </c>
      <c r="D52" s="1" t="s">
        <v>64</v>
      </c>
      <c r="E52" s="1" t="s">
        <v>14</v>
      </c>
      <c r="F52" s="1">
        <v>182</v>
      </c>
      <c r="G52" s="1" t="s">
        <v>14</v>
      </c>
      <c r="H52" s="1">
        <v>355</v>
      </c>
      <c r="I52" s="1" t="s">
        <v>14</v>
      </c>
      <c r="J52" s="1">
        <v>28</v>
      </c>
      <c r="K52" s="1" t="s">
        <v>14</v>
      </c>
      <c r="L52" s="1">
        <v>0</v>
      </c>
      <c r="M52" s="1" t="s">
        <v>14</v>
      </c>
      <c r="N52" s="1">
        <v>0</v>
      </c>
      <c r="O52" s="1" t="s">
        <v>14</v>
      </c>
      <c r="P52" s="1">
        <v>385.85999999999996</v>
      </c>
      <c r="Q52" s="1" t="s">
        <v>14</v>
      </c>
      <c r="R52" s="1">
        <v>70226.51999999999</v>
      </c>
      <c r="S52" s="1" t="s">
        <v>12</v>
      </c>
      <c r="T52" s="1" t="str">
        <f t="shared" si="0"/>
        <v>&lt;tr&gt; &lt;td&gt;7903451&lt;/td&gt;&lt;td&gt;SERVOGREASE MIRACLE 3-182 KG&lt;/td&gt;&lt;td&gt;182&lt;/td&gt;&lt;td&gt;355&lt;/td&gt;&lt;td&gt;28&lt;/td&gt;&lt;td&gt;0&lt;/td&gt;&lt;td&gt;0&lt;/td&gt;&lt;td&gt;385.86&lt;/td&gt;&lt;td&gt;70226.52&lt;/td&gt;&lt;/tr&gt;</v>
      </c>
    </row>
    <row r="53" spans="1:20" x14ac:dyDescent="0.3">
      <c r="A53" s="1" t="s">
        <v>13</v>
      </c>
      <c r="B53" s="1">
        <v>7584401</v>
      </c>
      <c r="C53" s="1" t="s">
        <v>14</v>
      </c>
      <c r="D53" s="1" t="s">
        <v>65</v>
      </c>
      <c r="E53" s="1" t="s">
        <v>14</v>
      </c>
      <c r="F53" s="1">
        <v>210</v>
      </c>
      <c r="G53" s="1" t="s">
        <v>14</v>
      </c>
      <c r="H53" s="1">
        <v>204</v>
      </c>
      <c r="I53" s="1" t="s">
        <v>14</v>
      </c>
      <c r="J53" s="1">
        <v>0</v>
      </c>
      <c r="K53" s="1" t="s">
        <v>14</v>
      </c>
      <c r="L53" s="1">
        <v>0</v>
      </c>
      <c r="M53" s="1" t="s">
        <v>14</v>
      </c>
      <c r="N53" s="1">
        <v>0</v>
      </c>
      <c r="O53" s="1" t="s">
        <v>14</v>
      </c>
      <c r="P53" s="1">
        <v>240.72</v>
      </c>
      <c r="Q53" s="1" t="s">
        <v>14</v>
      </c>
      <c r="R53" s="1">
        <v>50551.199999999997</v>
      </c>
      <c r="S53" s="1" t="s">
        <v>12</v>
      </c>
      <c r="T53" s="1" t="str">
        <f t="shared" si="0"/>
        <v>&lt;tr&gt; &lt;td&gt;7584401&lt;/td&gt;&lt;td&gt;SERVO KOOL PLUS -210L BRL&lt;/td&gt;&lt;td&gt;210&lt;/td&gt;&lt;td&gt;204&lt;/td&gt;&lt;td&gt;0&lt;/td&gt;&lt;td&gt;0&lt;/td&gt;&lt;td&gt;0&lt;/td&gt;&lt;td&gt;240.72&lt;/td&gt;&lt;td&gt;50551.2&lt;/td&gt;&lt;/tr&gt;</v>
      </c>
    </row>
    <row r="54" spans="1:20" x14ac:dyDescent="0.3">
      <c r="A54" s="1" t="s">
        <v>13</v>
      </c>
      <c r="B54" s="1">
        <v>2909401</v>
      </c>
      <c r="C54" s="1" t="s">
        <v>14</v>
      </c>
      <c r="D54" s="1" t="s">
        <v>66</v>
      </c>
      <c r="E54" s="1" t="s">
        <v>14</v>
      </c>
      <c r="F54" s="1">
        <v>210</v>
      </c>
      <c r="G54" s="1" t="s">
        <v>14</v>
      </c>
      <c r="H54" s="1">
        <v>256</v>
      </c>
      <c r="I54" s="1" t="s">
        <v>14</v>
      </c>
      <c r="J54" s="1">
        <v>0</v>
      </c>
      <c r="K54" s="1" t="s">
        <v>14</v>
      </c>
      <c r="L54" s="1">
        <v>0</v>
      </c>
      <c r="M54" s="1" t="s">
        <v>14</v>
      </c>
      <c r="N54" s="1">
        <v>0</v>
      </c>
      <c r="O54" s="1" t="s">
        <v>14</v>
      </c>
      <c r="P54" s="1">
        <v>302.08</v>
      </c>
      <c r="Q54" s="1" t="s">
        <v>14</v>
      </c>
      <c r="R54" s="1">
        <v>63436.799999999996</v>
      </c>
      <c r="S54" s="1" t="s">
        <v>12</v>
      </c>
      <c r="T54" s="1" t="str">
        <f t="shared" si="0"/>
        <v>&lt;tr&gt; &lt;td&gt;2909401&lt;/td&gt;&lt;td&gt;SERVO BRAKE FLUID SUPER HD  - 210L BRL&lt;/td&gt;&lt;td&gt;210&lt;/td&gt;&lt;td&gt;256&lt;/td&gt;&lt;td&gt;0&lt;/td&gt;&lt;td&gt;0&lt;/td&gt;&lt;td&gt;0&lt;/td&gt;&lt;td&gt;302.08&lt;/td&gt;&lt;td&gt;63436.8&lt;/td&gt;&lt;/tr&gt;</v>
      </c>
    </row>
    <row r="55" spans="1:20" x14ac:dyDescent="0.3">
      <c r="A55" s="1" t="s">
        <v>13</v>
      </c>
      <c r="B55" s="1">
        <v>7742451</v>
      </c>
      <c r="C55" s="1" t="s">
        <v>14</v>
      </c>
      <c r="D55" s="1" t="s">
        <v>67</v>
      </c>
      <c r="E55" s="1" t="s">
        <v>14</v>
      </c>
      <c r="F55" s="1">
        <v>182</v>
      </c>
      <c r="G55" s="1" t="s">
        <v>14</v>
      </c>
      <c r="H55" s="1">
        <v>280</v>
      </c>
      <c r="I55" s="1" t="s">
        <v>14</v>
      </c>
      <c r="J55" s="1">
        <v>44</v>
      </c>
      <c r="K55" s="1" t="s">
        <v>14</v>
      </c>
      <c r="L55" s="1">
        <v>0</v>
      </c>
      <c r="M55" s="1" t="s">
        <v>14</v>
      </c>
      <c r="N55" s="1">
        <v>0</v>
      </c>
      <c r="O55" s="1" t="s">
        <v>14</v>
      </c>
      <c r="P55" s="1">
        <v>278.47999999999996</v>
      </c>
      <c r="Q55" s="1" t="s">
        <v>14</v>
      </c>
      <c r="R55" s="1">
        <v>50683.359999999993</v>
      </c>
      <c r="S55" s="1" t="s">
        <v>12</v>
      </c>
      <c r="T55" s="1" t="str">
        <f t="shared" si="0"/>
        <v>&lt;tr&gt; &lt;td&gt;7742451&lt;/td&gt;&lt;td&gt;SERVOGEM EP 2-182 KG DRM&lt;/td&gt;&lt;td&gt;182&lt;/td&gt;&lt;td&gt;280&lt;/td&gt;&lt;td&gt;44&lt;/td&gt;&lt;td&gt;0&lt;/td&gt;&lt;td&gt;0&lt;/td&gt;&lt;td&gt;278.48&lt;/td&gt;&lt;td&gt;50683.36&lt;/td&gt;&lt;/tr&gt;</v>
      </c>
    </row>
    <row r="56" spans="1:20" x14ac:dyDescent="0.3">
      <c r="A56" s="1" t="s">
        <v>13</v>
      </c>
      <c r="B56" s="1">
        <v>3040288</v>
      </c>
      <c r="C56" s="1" t="s">
        <v>14</v>
      </c>
      <c r="D56" s="1" t="s">
        <v>68</v>
      </c>
      <c r="E56" s="1" t="s">
        <v>14</v>
      </c>
      <c r="F56" s="1">
        <v>26</v>
      </c>
      <c r="G56" s="1" t="s">
        <v>14</v>
      </c>
      <c r="H56" s="1">
        <v>143</v>
      </c>
      <c r="I56" s="1" t="s">
        <v>14</v>
      </c>
      <c r="J56" s="1">
        <v>34</v>
      </c>
      <c r="K56" s="1" t="s">
        <v>14</v>
      </c>
      <c r="L56" s="1">
        <v>0</v>
      </c>
      <c r="M56" s="1" t="s">
        <v>14</v>
      </c>
      <c r="N56" s="1">
        <v>0</v>
      </c>
      <c r="O56" s="1" t="s">
        <v>14</v>
      </c>
      <c r="P56" s="1">
        <v>128.62</v>
      </c>
      <c r="Q56" s="1" t="s">
        <v>14</v>
      </c>
      <c r="R56" s="1">
        <v>3344.12</v>
      </c>
      <c r="S56" s="1" t="s">
        <v>12</v>
      </c>
      <c r="T56" s="1" t="str">
        <f t="shared" si="0"/>
        <v>&lt;tr&gt; &lt;td&gt;3040288&lt;/td&gt;&lt;td&gt;SERVOHYDRASHAKTI 68-26 L&lt;/td&gt;&lt;td&gt;26&lt;/td&gt;&lt;td&gt;143&lt;/td&gt;&lt;td&gt;34&lt;/td&gt;&lt;td&gt;0&lt;/td&gt;&lt;td&gt;0&lt;/td&gt;&lt;td&gt;128.62&lt;/td&gt;&lt;td&gt;3344.12&lt;/td&gt;&lt;/tr&gt;</v>
      </c>
    </row>
    <row r="57" spans="1:20" x14ac:dyDescent="0.3">
      <c r="A57" s="1" t="s">
        <v>13</v>
      </c>
      <c r="B57" s="1">
        <v>3006271</v>
      </c>
      <c r="C57" s="1" t="s">
        <v>14</v>
      </c>
      <c r="D57" s="1" t="s">
        <v>69</v>
      </c>
      <c r="E57" s="1" t="s">
        <v>14</v>
      </c>
      <c r="F57" s="1">
        <v>50</v>
      </c>
      <c r="G57" s="1" t="s">
        <v>14</v>
      </c>
      <c r="H57" s="1">
        <v>208</v>
      </c>
      <c r="I57" s="1" t="s">
        <v>14</v>
      </c>
      <c r="J57" s="1">
        <v>75</v>
      </c>
      <c r="K57" s="1" t="s">
        <v>14</v>
      </c>
      <c r="L57" s="1">
        <v>0</v>
      </c>
      <c r="M57" s="1" t="s">
        <v>14</v>
      </c>
      <c r="N57" s="1">
        <v>0</v>
      </c>
      <c r="O57" s="1" t="s">
        <v>14</v>
      </c>
      <c r="P57" s="1">
        <v>156.94</v>
      </c>
      <c r="Q57" s="1" t="s">
        <v>14</v>
      </c>
      <c r="R57" s="1">
        <v>7847</v>
      </c>
      <c r="S57" s="1" t="s">
        <v>12</v>
      </c>
      <c r="T57" s="1" t="str">
        <f t="shared" si="0"/>
        <v>&lt;tr&gt; &lt;td&gt;3006271&lt;/td&gt;&lt;td&gt;SERVOSYSTEM 68 - 50L HDPE&lt;/td&gt;&lt;td&gt;50&lt;/td&gt;&lt;td&gt;208&lt;/td&gt;&lt;td&gt;75&lt;/td&gt;&lt;td&gt;0&lt;/td&gt;&lt;td&gt;0&lt;/td&gt;&lt;td&gt;156.94&lt;/td&gt;&lt;td&gt;7847&lt;/td&gt;&lt;/tr&gt;</v>
      </c>
    </row>
    <row r="58" spans="1:20" x14ac:dyDescent="0.3">
      <c r="A58" s="1" t="s">
        <v>13</v>
      </c>
      <c r="B58" s="1">
        <v>3006288</v>
      </c>
      <c r="C58" s="1" t="s">
        <v>14</v>
      </c>
      <c r="D58" s="1" t="s">
        <v>70</v>
      </c>
      <c r="E58" s="1" t="s">
        <v>14</v>
      </c>
      <c r="F58" s="1">
        <v>26</v>
      </c>
      <c r="G58" s="1" t="s">
        <v>14</v>
      </c>
      <c r="H58" s="1">
        <v>209</v>
      </c>
      <c r="I58" s="1" t="s">
        <v>14</v>
      </c>
      <c r="J58" s="1">
        <v>75</v>
      </c>
      <c r="K58" s="1" t="s">
        <v>14</v>
      </c>
      <c r="L58" s="1">
        <v>0</v>
      </c>
      <c r="M58" s="1" t="s">
        <v>14</v>
      </c>
      <c r="N58" s="1">
        <v>0</v>
      </c>
      <c r="O58" s="1" t="s">
        <v>14</v>
      </c>
      <c r="P58" s="1">
        <v>158.12</v>
      </c>
      <c r="Q58" s="1" t="s">
        <v>14</v>
      </c>
      <c r="R58" s="1">
        <v>4111.12</v>
      </c>
      <c r="S58" s="1" t="s">
        <v>12</v>
      </c>
      <c r="T58" s="1" t="str">
        <f t="shared" si="0"/>
        <v>&lt;tr&gt; &lt;td&gt;3006288&lt;/td&gt;&lt;td&gt;SERVOSYSTEM 68-26 L&lt;/td&gt;&lt;td&gt;26&lt;/td&gt;&lt;td&gt;209&lt;/td&gt;&lt;td&gt;75&lt;/td&gt;&lt;td&gt;0&lt;/td&gt;&lt;td&gt;0&lt;/td&gt;&lt;td&gt;158.12&lt;/td&gt;&lt;td&gt;4111.12&lt;/td&gt;&lt;/tr&gt;</v>
      </c>
    </row>
    <row r="59" spans="1:20" x14ac:dyDescent="0.3">
      <c r="A59" s="1" t="s">
        <v>13</v>
      </c>
      <c r="B59" s="1">
        <v>3001401</v>
      </c>
      <c r="C59" s="1" t="s">
        <v>14</v>
      </c>
      <c r="D59" s="1" t="s">
        <v>71</v>
      </c>
      <c r="E59" s="1" t="s">
        <v>14</v>
      </c>
      <c r="F59" s="1">
        <v>210</v>
      </c>
      <c r="G59" s="1" t="s">
        <v>14</v>
      </c>
      <c r="H59" s="1">
        <v>160</v>
      </c>
      <c r="I59" s="1" t="s">
        <v>14</v>
      </c>
      <c r="J59" s="1">
        <v>37</v>
      </c>
      <c r="K59" s="1" t="s">
        <v>14</v>
      </c>
      <c r="L59" s="1">
        <v>0</v>
      </c>
      <c r="M59" s="1" t="s">
        <v>14</v>
      </c>
      <c r="N59" s="1">
        <v>0</v>
      </c>
      <c r="O59" s="1" t="s">
        <v>14</v>
      </c>
      <c r="P59" s="1">
        <v>145.13999999999999</v>
      </c>
      <c r="Q59" s="1" t="s">
        <v>14</v>
      </c>
      <c r="R59" s="1">
        <v>30479.399999999998</v>
      </c>
      <c r="S59" s="1" t="s">
        <v>12</v>
      </c>
      <c r="T59" s="1" t="str">
        <f t="shared" si="0"/>
        <v>&lt;tr&gt; &lt;td&gt;3001401&lt;/td&gt;&lt;td&gt;SERVOSYSTEM 32 - 210L BRL&lt;/td&gt;&lt;td&gt;210&lt;/td&gt;&lt;td&gt;160&lt;/td&gt;&lt;td&gt;37&lt;/td&gt;&lt;td&gt;0&lt;/td&gt;&lt;td&gt;0&lt;/td&gt;&lt;td&gt;145.14&lt;/td&gt;&lt;td&gt;30479.4&lt;/td&gt;&lt;/tr&gt;</v>
      </c>
    </row>
    <row r="60" spans="1:20" x14ac:dyDescent="0.3">
      <c r="A60" s="1" t="s">
        <v>13</v>
      </c>
      <c r="B60" s="1">
        <v>3002401</v>
      </c>
      <c r="C60" s="1" t="s">
        <v>14</v>
      </c>
      <c r="D60" s="1" t="s">
        <v>72</v>
      </c>
      <c r="E60" s="1" t="s">
        <v>14</v>
      </c>
      <c r="F60" s="1">
        <v>210</v>
      </c>
      <c r="G60" s="1" t="s">
        <v>14</v>
      </c>
      <c r="H60" s="1">
        <v>165</v>
      </c>
      <c r="I60" s="1" t="s">
        <v>14</v>
      </c>
      <c r="J60" s="1">
        <v>36</v>
      </c>
      <c r="K60" s="1" t="s">
        <v>14</v>
      </c>
      <c r="L60" s="1">
        <v>0</v>
      </c>
      <c r="M60" s="1" t="s">
        <v>14</v>
      </c>
      <c r="N60" s="1">
        <v>0</v>
      </c>
      <c r="O60" s="1" t="s">
        <v>14</v>
      </c>
      <c r="P60" s="1">
        <v>152.22</v>
      </c>
      <c r="Q60" s="1" t="s">
        <v>14</v>
      </c>
      <c r="R60" s="1">
        <v>31966.2</v>
      </c>
      <c r="S60" s="1" t="s">
        <v>12</v>
      </c>
      <c r="T60" s="1" t="str">
        <f t="shared" si="0"/>
        <v>&lt;tr&gt; &lt;td&gt;3002401&lt;/td&gt;&lt;td&gt;SERVOSYSTEM 46 - 210L BRL&lt;/td&gt;&lt;td&gt;210&lt;/td&gt;&lt;td&gt;165&lt;/td&gt;&lt;td&gt;36&lt;/td&gt;&lt;td&gt;0&lt;/td&gt;&lt;td&gt;0&lt;/td&gt;&lt;td&gt;152.22&lt;/td&gt;&lt;td&gt;31966.2&lt;/td&gt;&lt;/tr&gt;</v>
      </c>
    </row>
    <row r="61" spans="1:20" x14ac:dyDescent="0.3">
      <c r="A61" s="1" t="s">
        <v>13</v>
      </c>
      <c r="B61" s="1">
        <v>3006401</v>
      </c>
      <c r="C61" s="1" t="s">
        <v>14</v>
      </c>
      <c r="D61" s="1" t="s">
        <v>73</v>
      </c>
      <c r="E61" s="1" t="s">
        <v>14</v>
      </c>
      <c r="F61" s="1">
        <v>210</v>
      </c>
      <c r="G61" s="1" t="s">
        <v>14</v>
      </c>
      <c r="H61" s="1">
        <v>175</v>
      </c>
      <c r="I61" s="1" t="s">
        <v>14</v>
      </c>
      <c r="J61" s="1">
        <v>44</v>
      </c>
      <c r="K61" s="1" t="s">
        <v>14</v>
      </c>
      <c r="L61" s="1">
        <v>0</v>
      </c>
      <c r="M61" s="1" t="s">
        <v>14</v>
      </c>
      <c r="N61" s="1">
        <v>0</v>
      </c>
      <c r="O61" s="1" t="s">
        <v>14</v>
      </c>
      <c r="P61" s="1">
        <v>154.57999999999998</v>
      </c>
      <c r="Q61" s="1" t="s">
        <v>14</v>
      </c>
      <c r="R61" s="1">
        <v>32461.799999999996</v>
      </c>
      <c r="S61" s="1" t="s">
        <v>12</v>
      </c>
      <c r="T61" s="1" t="str">
        <f t="shared" si="0"/>
        <v>&lt;tr&gt; &lt;td&gt;3006401&lt;/td&gt;&lt;td&gt;SERVOSYSTEM 68 - 210L BRL&lt;/td&gt;&lt;td&gt;210&lt;/td&gt;&lt;td&gt;175&lt;/td&gt;&lt;td&gt;44&lt;/td&gt;&lt;td&gt;0&lt;/td&gt;&lt;td&gt;0&lt;/td&gt;&lt;td&gt;154.58&lt;/td&gt;&lt;td&gt;32461.8&lt;/td&gt;&lt;/tr&gt;</v>
      </c>
    </row>
    <row r="62" spans="1:20" x14ac:dyDescent="0.3">
      <c r="A62" s="1" t="s">
        <v>13</v>
      </c>
      <c r="B62" s="1">
        <v>3007403</v>
      </c>
      <c r="C62" s="1" t="s">
        <v>14</v>
      </c>
      <c r="D62" s="1" t="s">
        <v>74</v>
      </c>
      <c r="E62" s="1" t="s">
        <v>14</v>
      </c>
      <c r="F62" s="1">
        <v>210</v>
      </c>
      <c r="G62" s="1" t="s">
        <v>14</v>
      </c>
      <c r="H62" s="1">
        <v>210</v>
      </c>
      <c r="I62" s="1" t="s">
        <v>14</v>
      </c>
      <c r="J62" s="1">
        <v>53</v>
      </c>
      <c r="K62" s="1" t="s">
        <v>14</v>
      </c>
      <c r="L62" s="1">
        <v>0</v>
      </c>
      <c r="M62" s="1" t="s">
        <v>14</v>
      </c>
      <c r="N62" s="1">
        <v>0</v>
      </c>
      <c r="O62" s="1" t="s">
        <v>14</v>
      </c>
      <c r="P62" s="1">
        <v>185.26</v>
      </c>
      <c r="Q62" s="1" t="s">
        <v>14</v>
      </c>
      <c r="R62" s="1">
        <v>38904.6</v>
      </c>
      <c r="S62" s="1" t="s">
        <v>12</v>
      </c>
      <c r="T62" s="1" t="str">
        <f t="shared" si="0"/>
        <v>&lt;tr&gt; &lt;td&gt;3007403&lt;/td&gt;&lt;td&gt;SERVOSYSTEM 100-210 L HD&lt;/td&gt;&lt;td&gt;210&lt;/td&gt;&lt;td&gt;210&lt;/td&gt;&lt;td&gt;53&lt;/td&gt;&lt;td&gt;0&lt;/td&gt;&lt;td&gt;0&lt;/td&gt;&lt;td&gt;185.26&lt;/td&gt;&lt;td&gt;38904.6&lt;/td&gt;&lt;/tr&gt;</v>
      </c>
    </row>
    <row r="63" spans="1:20" x14ac:dyDescent="0.3">
      <c r="A63" s="1" t="s">
        <v>13</v>
      </c>
      <c r="B63" s="1">
        <v>3020401</v>
      </c>
      <c r="C63" s="1" t="s">
        <v>14</v>
      </c>
      <c r="D63" s="1" t="s">
        <v>75</v>
      </c>
      <c r="E63" s="1" t="s">
        <v>14</v>
      </c>
      <c r="F63" s="1">
        <v>210</v>
      </c>
      <c r="G63" s="1" t="s">
        <v>14</v>
      </c>
      <c r="H63" s="1">
        <v>198</v>
      </c>
      <c r="I63" s="1" t="s">
        <v>14</v>
      </c>
      <c r="J63" s="1">
        <v>23</v>
      </c>
      <c r="K63" s="1" t="s">
        <v>14</v>
      </c>
      <c r="L63" s="1">
        <v>0</v>
      </c>
      <c r="M63" s="1" t="s">
        <v>14</v>
      </c>
      <c r="N63" s="1">
        <v>0</v>
      </c>
      <c r="O63" s="1" t="s">
        <v>14</v>
      </c>
      <c r="P63" s="1">
        <v>206.5</v>
      </c>
      <c r="Q63" s="1" t="s">
        <v>14</v>
      </c>
      <c r="R63" s="1">
        <v>43365</v>
      </c>
      <c r="S63" s="1" t="s">
        <v>12</v>
      </c>
      <c r="T63" s="1" t="str">
        <f t="shared" si="0"/>
        <v>&lt;tr&gt; &lt;td&gt;3020401&lt;/td&gt;&lt;td&gt;SERVOSYSTEM 220 - 210L BRL&lt;/td&gt;&lt;td&gt;210&lt;/td&gt;&lt;td&gt;198&lt;/td&gt;&lt;td&gt;23&lt;/td&gt;&lt;td&gt;0&lt;/td&gt;&lt;td&gt;0&lt;/td&gt;&lt;td&gt;206.5&lt;/td&gt;&lt;td&gt;43365&lt;/td&gt;&lt;/tr&gt;</v>
      </c>
    </row>
    <row r="64" spans="1:20" x14ac:dyDescent="0.3">
      <c r="A64" s="1" t="s">
        <v>13</v>
      </c>
      <c r="B64" s="1">
        <v>3017401</v>
      </c>
      <c r="C64" s="1" t="s">
        <v>14</v>
      </c>
      <c r="D64" s="1" t="s">
        <v>76</v>
      </c>
      <c r="E64" s="1" t="s">
        <v>14</v>
      </c>
      <c r="F64" s="1">
        <v>210</v>
      </c>
      <c r="G64" s="1" t="s">
        <v>14</v>
      </c>
      <c r="H64" s="1">
        <v>207</v>
      </c>
      <c r="I64" s="1" t="s">
        <v>14</v>
      </c>
      <c r="J64" s="1">
        <v>16</v>
      </c>
      <c r="K64" s="1" t="s">
        <v>14</v>
      </c>
      <c r="L64" s="1">
        <v>0</v>
      </c>
      <c r="M64" s="1" t="s">
        <v>14</v>
      </c>
      <c r="N64" s="1">
        <v>0</v>
      </c>
      <c r="O64" s="1" t="s">
        <v>14</v>
      </c>
      <c r="P64" s="1">
        <v>225.38</v>
      </c>
      <c r="Q64" s="1" t="s">
        <v>14</v>
      </c>
      <c r="R64" s="1">
        <v>47329.799999999996</v>
      </c>
      <c r="S64" s="1" t="s">
        <v>12</v>
      </c>
      <c r="T64" s="1" t="str">
        <f t="shared" si="0"/>
        <v>&lt;tr&gt; &lt;td&gt;3017401&lt;/td&gt;&lt;td&gt;SERVOSYSTEM 320 - 210L BRL&lt;/td&gt;&lt;td&gt;210&lt;/td&gt;&lt;td&gt;207&lt;/td&gt;&lt;td&gt;16&lt;/td&gt;&lt;td&gt;0&lt;/td&gt;&lt;td&gt;0&lt;/td&gt;&lt;td&gt;225.38&lt;/td&gt;&lt;td&gt;47329.8&lt;/td&gt;&lt;/tr&gt;</v>
      </c>
    </row>
    <row r="65" spans="1:20" x14ac:dyDescent="0.3">
      <c r="A65" s="1" t="s">
        <v>13</v>
      </c>
      <c r="B65" s="1">
        <v>3019401</v>
      </c>
      <c r="C65" s="1" t="s">
        <v>14</v>
      </c>
      <c r="D65" s="1" t="s">
        <v>77</v>
      </c>
      <c r="E65" s="1" t="s">
        <v>14</v>
      </c>
      <c r="F65" s="1">
        <v>210</v>
      </c>
      <c r="G65" s="1" t="s">
        <v>14</v>
      </c>
      <c r="H65" s="1">
        <v>191</v>
      </c>
      <c r="I65" s="1" t="s">
        <v>14</v>
      </c>
      <c r="J65" s="1">
        <v>27</v>
      </c>
      <c r="K65" s="1" t="s">
        <v>14</v>
      </c>
      <c r="L65" s="1">
        <v>0</v>
      </c>
      <c r="M65" s="1" t="s">
        <v>14</v>
      </c>
      <c r="N65" s="1">
        <v>0</v>
      </c>
      <c r="O65" s="1" t="s">
        <v>14</v>
      </c>
      <c r="P65" s="1">
        <v>193.51999999999998</v>
      </c>
      <c r="Q65" s="1" t="s">
        <v>14</v>
      </c>
      <c r="R65" s="1">
        <v>40639.199999999997</v>
      </c>
      <c r="S65" s="1" t="s">
        <v>12</v>
      </c>
      <c r="T65" s="1" t="str">
        <f t="shared" si="0"/>
        <v>&lt;tr&gt; &lt;td&gt;3019401&lt;/td&gt;&lt;td&gt;SERVOSYSTEM 150 - 210L BRL&lt;/td&gt;&lt;td&gt;210&lt;/td&gt;&lt;td&gt;191&lt;/td&gt;&lt;td&gt;27&lt;/td&gt;&lt;td&gt;0&lt;/td&gt;&lt;td&gt;0&lt;/td&gt;&lt;td&gt;193.52&lt;/td&gt;&lt;td&gt;40639.2&lt;/td&gt;&lt;/tr&gt;</v>
      </c>
    </row>
    <row r="66" spans="1:20" x14ac:dyDescent="0.3">
      <c r="A66" s="1" t="s">
        <v>13</v>
      </c>
      <c r="B66" s="1">
        <v>3064401</v>
      </c>
      <c r="C66" s="1" t="s">
        <v>14</v>
      </c>
      <c r="D66" s="1" t="s">
        <v>78</v>
      </c>
      <c r="E66" s="1" t="s">
        <v>14</v>
      </c>
      <c r="F66" s="1">
        <v>210</v>
      </c>
      <c r="G66" s="1" t="s">
        <v>14</v>
      </c>
      <c r="H66" s="1">
        <v>187</v>
      </c>
      <c r="I66" s="1" t="s">
        <v>14</v>
      </c>
      <c r="J66" s="1">
        <v>6</v>
      </c>
      <c r="K66" s="1" t="s">
        <v>14</v>
      </c>
      <c r="L66" s="1">
        <v>0</v>
      </c>
      <c r="M66" s="1" t="s">
        <v>14</v>
      </c>
      <c r="N66" s="1">
        <v>0</v>
      </c>
      <c r="O66" s="1" t="s">
        <v>14</v>
      </c>
      <c r="P66" s="1">
        <v>213.57999999999998</v>
      </c>
      <c r="Q66" s="1" t="s">
        <v>14</v>
      </c>
      <c r="R66" s="1">
        <v>44851.799999999996</v>
      </c>
      <c r="S66" s="1" t="s">
        <v>12</v>
      </c>
      <c r="T66" s="1" t="str">
        <f t="shared" si="0"/>
        <v>&lt;tr&gt; &lt;td&gt;3064401&lt;/td&gt;&lt;td&gt;SERVOHYDREX TH 46-210L BRL&lt;/td&gt;&lt;td&gt;210&lt;/td&gt;&lt;td&gt;187&lt;/td&gt;&lt;td&gt;6&lt;/td&gt;&lt;td&gt;0&lt;/td&gt;&lt;td&gt;0&lt;/td&gt;&lt;td&gt;213.58&lt;/td&gt;&lt;td&gt;44851.8&lt;/td&gt;&lt;/tr&gt;</v>
      </c>
    </row>
    <row r="67" spans="1:20" x14ac:dyDescent="0.3">
      <c r="A67" s="1" t="s">
        <v>13</v>
      </c>
      <c r="B67" s="1">
        <v>3081401</v>
      </c>
      <c r="C67" s="1" t="s">
        <v>14</v>
      </c>
      <c r="D67" s="1" t="s">
        <v>79</v>
      </c>
      <c r="E67" s="1" t="s">
        <v>14</v>
      </c>
      <c r="F67" s="1">
        <v>210</v>
      </c>
      <c r="G67" s="1" t="s">
        <v>14</v>
      </c>
      <c r="H67" s="1">
        <v>196</v>
      </c>
      <c r="I67" s="1" t="s">
        <v>14</v>
      </c>
      <c r="J67" s="1">
        <v>0</v>
      </c>
      <c r="K67" s="1" t="s">
        <v>14</v>
      </c>
      <c r="L67" s="1">
        <v>0</v>
      </c>
      <c r="M67" s="1" t="s">
        <v>14</v>
      </c>
      <c r="N67" s="1">
        <v>0</v>
      </c>
      <c r="O67" s="1" t="s">
        <v>14</v>
      </c>
      <c r="P67" s="1">
        <v>231.28</v>
      </c>
      <c r="Q67" s="1" t="s">
        <v>14</v>
      </c>
      <c r="R67" s="1">
        <v>48568.800000000003</v>
      </c>
      <c r="S67" s="1" t="s">
        <v>12</v>
      </c>
      <c r="T67" s="1" t="str">
        <f t="shared" si="0"/>
        <v>&lt;tr&gt; &lt;td&gt;3081401&lt;/td&gt;&lt;td&gt;SERVOSYSTEM HLP 32 - 210L BRL&lt;/td&gt;&lt;td&gt;210&lt;/td&gt;&lt;td&gt;196&lt;/td&gt;&lt;td&gt;0&lt;/td&gt;&lt;td&gt;0&lt;/td&gt;&lt;td&gt;0&lt;/td&gt;&lt;td&gt;231.28&lt;/td&gt;&lt;td&gt;48568.8&lt;/td&gt;&lt;/tr&gt;</v>
      </c>
    </row>
    <row r="68" spans="1:20" x14ac:dyDescent="0.3">
      <c r="A68" s="1" t="s">
        <v>13</v>
      </c>
      <c r="B68" s="1">
        <v>3082401</v>
      </c>
      <c r="C68" s="1" t="s">
        <v>14</v>
      </c>
      <c r="D68" s="1" t="s">
        <v>80</v>
      </c>
      <c r="E68" s="1" t="s">
        <v>14</v>
      </c>
      <c r="F68" s="1">
        <v>210</v>
      </c>
      <c r="G68" s="1" t="s">
        <v>14</v>
      </c>
      <c r="H68" s="1">
        <v>201</v>
      </c>
      <c r="I68" s="1" t="s">
        <v>14</v>
      </c>
      <c r="J68" s="1">
        <v>56</v>
      </c>
      <c r="K68" s="1" t="s">
        <v>14</v>
      </c>
      <c r="L68" s="1">
        <v>0</v>
      </c>
      <c r="M68" s="1" t="s">
        <v>14</v>
      </c>
      <c r="N68" s="1">
        <v>0</v>
      </c>
      <c r="O68" s="1" t="s">
        <v>14</v>
      </c>
      <c r="P68" s="1">
        <v>171.1</v>
      </c>
      <c r="Q68" s="1" t="s">
        <v>14</v>
      </c>
      <c r="R68" s="1">
        <v>35931</v>
      </c>
      <c r="S68" s="1" t="s">
        <v>12</v>
      </c>
      <c r="T68" s="1" t="str">
        <f t="shared" ref="T68:T79" si="1">CONCATENATE(A68,B68,C68,D68,E68,F68,G68,H68,I68,J68,K68,L68,M68,N68,O68,P68,Q68,R68,S68)</f>
        <v>&lt;tr&gt; &lt;td&gt;3082401&lt;/td&gt;&lt;td&gt;SERVOSYSTEM HLP 46 - 210L BRL&lt;/td&gt;&lt;td&gt;210&lt;/td&gt;&lt;td&gt;201&lt;/td&gt;&lt;td&gt;56&lt;/td&gt;&lt;td&gt;0&lt;/td&gt;&lt;td&gt;0&lt;/td&gt;&lt;td&gt;171.1&lt;/td&gt;&lt;td&gt;35931&lt;/td&gt;&lt;/tr&gt;</v>
      </c>
    </row>
    <row r="69" spans="1:20" x14ac:dyDescent="0.3">
      <c r="A69" s="1" t="s">
        <v>13</v>
      </c>
      <c r="B69" s="1">
        <v>3084401</v>
      </c>
      <c r="C69" s="1" t="s">
        <v>14</v>
      </c>
      <c r="D69" s="1" t="s">
        <v>81</v>
      </c>
      <c r="E69" s="1" t="s">
        <v>14</v>
      </c>
      <c r="F69" s="1">
        <v>210</v>
      </c>
      <c r="G69" s="1" t="s">
        <v>14</v>
      </c>
      <c r="H69" s="1">
        <v>211</v>
      </c>
      <c r="I69" s="1" t="s">
        <v>14</v>
      </c>
      <c r="J69" s="1">
        <v>68</v>
      </c>
      <c r="K69" s="1" t="s">
        <v>14</v>
      </c>
      <c r="L69" s="1">
        <v>0</v>
      </c>
      <c r="M69" s="1" t="s">
        <v>14</v>
      </c>
      <c r="N69" s="1">
        <v>0</v>
      </c>
      <c r="O69" s="1" t="s">
        <v>14</v>
      </c>
      <c r="P69" s="1">
        <v>168.73999999999998</v>
      </c>
      <c r="Q69" s="1" t="s">
        <v>14</v>
      </c>
      <c r="R69" s="1">
        <v>35435.399999999994</v>
      </c>
      <c r="S69" s="1" t="s">
        <v>12</v>
      </c>
      <c r="T69" s="1" t="str">
        <f t="shared" si="1"/>
        <v>&lt;tr&gt; &lt;td&gt;3084401&lt;/td&gt;&lt;td&gt;SERVOSYSTEM HLP 68 - 210L BRL&lt;/td&gt;&lt;td&gt;210&lt;/td&gt;&lt;td&gt;211&lt;/td&gt;&lt;td&gt;68&lt;/td&gt;&lt;td&gt;0&lt;/td&gt;&lt;td&gt;0&lt;/td&gt;&lt;td&gt;168.74&lt;/td&gt;&lt;td&gt;35435.4&lt;/td&gt;&lt;/tr&gt;</v>
      </c>
    </row>
    <row r="70" spans="1:20" x14ac:dyDescent="0.3">
      <c r="A70" s="1" t="s">
        <v>13</v>
      </c>
      <c r="B70" s="1">
        <v>3121401</v>
      </c>
      <c r="C70" s="1" t="s">
        <v>14</v>
      </c>
      <c r="D70" s="1" t="s">
        <v>82</v>
      </c>
      <c r="E70" s="1" t="s">
        <v>14</v>
      </c>
      <c r="F70" s="1">
        <v>210</v>
      </c>
      <c r="G70" s="1" t="s">
        <v>14</v>
      </c>
      <c r="H70" s="1">
        <v>200</v>
      </c>
      <c r="I70" s="1" t="s">
        <v>14</v>
      </c>
      <c r="J70" s="1">
        <v>0</v>
      </c>
      <c r="K70" s="1" t="s">
        <v>14</v>
      </c>
      <c r="L70" s="1">
        <v>0</v>
      </c>
      <c r="M70" s="1" t="s">
        <v>14</v>
      </c>
      <c r="N70" s="1">
        <v>0</v>
      </c>
      <c r="O70" s="1" t="s">
        <v>14</v>
      </c>
      <c r="P70" s="1">
        <v>236</v>
      </c>
      <c r="Q70" s="1" t="s">
        <v>14</v>
      </c>
      <c r="R70" s="1">
        <v>49560</v>
      </c>
      <c r="S70" s="1" t="s">
        <v>12</v>
      </c>
      <c r="T70" s="1" t="str">
        <f t="shared" si="1"/>
        <v>&lt;tr&gt; &lt;td&gt;3121401&lt;/td&gt;&lt;td&gt;SERVOPRIME 46 - 210L BRL&lt;/td&gt;&lt;td&gt;210&lt;/td&gt;&lt;td&gt;200&lt;/td&gt;&lt;td&gt;0&lt;/td&gt;&lt;td&gt;0&lt;/td&gt;&lt;td&gt;0&lt;/td&gt;&lt;td&gt;236&lt;/td&gt;&lt;td&gt;49560&lt;/td&gt;&lt;/tr&gt;</v>
      </c>
    </row>
    <row r="71" spans="1:20" x14ac:dyDescent="0.3">
      <c r="A71" s="1" t="s">
        <v>13</v>
      </c>
      <c r="B71" s="1">
        <v>3122401</v>
      </c>
      <c r="C71" s="1" t="s">
        <v>14</v>
      </c>
      <c r="D71" s="1" t="s">
        <v>83</v>
      </c>
      <c r="E71" s="1" t="s">
        <v>14</v>
      </c>
      <c r="F71" s="1">
        <v>210</v>
      </c>
      <c r="G71" s="1" t="s">
        <v>14</v>
      </c>
      <c r="H71" s="1">
        <v>205</v>
      </c>
      <c r="I71" s="1" t="s">
        <v>14</v>
      </c>
      <c r="J71" s="1">
        <v>0</v>
      </c>
      <c r="K71" s="1" t="s">
        <v>14</v>
      </c>
      <c r="L71" s="1">
        <v>0</v>
      </c>
      <c r="M71" s="1" t="s">
        <v>14</v>
      </c>
      <c r="N71" s="1">
        <v>0</v>
      </c>
      <c r="O71" s="1" t="s">
        <v>14</v>
      </c>
      <c r="P71" s="1">
        <v>241.89999999999998</v>
      </c>
      <c r="Q71" s="1" t="s">
        <v>14</v>
      </c>
      <c r="R71" s="1">
        <v>50798.999999999993</v>
      </c>
      <c r="S71" s="1" t="s">
        <v>12</v>
      </c>
      <c r="T71" s="1" t="str">
        <f t="shared" si="1"/>
        <v>&lt;tr&gt; &lt;td&gt;3122401&lt;/td&gt;&lt;td&gt;SERVOPRIME 57 - 210L BRL&lt;/td&gt;&lt;td&gt;210&lt;/td&gt;&lt;td&gt;205&lt;/td&gt;&lt;td&gt;0&lt;/td&gt;&lt;td&gt;0&lt;/td&gt;&lt;td&gt;0&lt;/td&gt;&lt;td&gt;241.9&lt;/td&gt;&lt;td&gt;50799&lt;/td&gt;&lt;/tr&gt;</v>
      </c>
    </row>
    <row r="72" spans="1:20" x14ac:dyDescent="0.3">
      <c r="A72" s="1" t="s">
        <v>13</v>
      </c>
      <c r="B72" s="1">
        <v>3614401</v>
      </c>
      <c r="C72" s="1" t="s">
        <v>14</v>
      </c>
      <c r="D72" s="1" t="s">
        <v>84</v>
      </c>
      <c r="E72" s="1" t="s">
        <v>14</v>
      </c>
      <c r="F72" s="1">
        <v>210</v>
      </c>
      <c r="G72" s="1" t="s">
        <v>14</v>
      </c>
      <c r="H72" s="1">
        <v>217</v>
      </c>
      <c r="I72" s="1" t="s">
        <v>14</v>
      </c>
      <c r="J72" s="1">
        <v>48</v>
      </c>
      <c r="K72" s="1" t="s">
        <v>14</v>
      </c>
      <c r="L72" s="1">
        <v>0</v>
      </c>
      <c r="M72" s="1" t="s">
        <v>14</v>
      </c>
      <c r="N72" s="1">
        <v>0</v>
      </c>
      <c r="O72" s="1" t="s">
        <v>14</v>
      </c>
      <c r="P72" s="1">
        <v>199.42</v>
      </c>
      <c r="Q72" s="1" t="s">
        <v>14</v>
      </c>
      <c r="R72" s="1">
        <v>41878.199999999997</v>
      </c>
      <c r="S72" s="1" t="s">
        <v>12</v>
      </c>
      <c r="T72" s="1" t="str">
        <f t="shared" si="1"/>
        <v>&lt;tr&gt; &lt;td&gt;3614401&lt;/td&gt;&lt;td&gt;SERVOMESH SP 320 - 210L BRL&lt;/td&gt;&lt;td&gt;210&lt;/td&gt;&lt;td&gt;217&lt;/td&gt;&lt;td&gt;48&lt;/td&gt;&lt;td&gt;0&lt;/td&gt;&lt;td&gt;0&lt;/td&gt;&lt;td&gt;199.42&lt;/td&gt;&lt;td&gt;41878.2&lt;/td&gt;&lt;/tr&gt;</v>
      </c>
    </row>
    <row r="73" spans="1:20" x14ac:dyDescent="0.3">
      <c r="A73" s="1" t="s">
        <v>13</v>
      </c>
      <c r="B73" s="1">
        <v>3617401</v>
      </c>
      <c r="C73" s="1" t="s">
        <v>14</v>
      </c>
      <c r="D73" s="1" t="s">
        <v>85</v>
      </c>
      <c r="E73" s="1" t="s">
        <v>14</v>
      </c>
      <c r="F73" s="1">
        <v>210</v>
      </c>
      <c r="G73" s="1" t="s">
        <v>14</v>
      </c>
      <c r="H73" s="1">
        <v>209</v>
      </c>
      <c r="I73" s="1" t="s">
        <v>14</v>
      </c>
      <c r="J73" s="1">
        <v>35</v>
      </c>
      <c r="K73" s="1" t="s">
        <v>14</v>
      </c>
      <c r="L73" s="1">
        <v>0</v>
      </c>
      <c r="M73" s="1" t="s">
        <v>14</v>
      </c>
      <c r="N73" s="1">
        <v>0</v>
      </c>
      <c r="O73" s="1" t="s">
        <v>14</v>
      </c>
      <c r="P73" s="1">
        <v>205.32</v>
      </c>
      <c r="Q73" s="1" t="s">
        <v>14</v>
      </c>
      <c r="R73" s="1">
        <v>43117.2</v>
      </c>
      <c r="S73" s="1" t="s">
        <v>12</v>
      </c>
      <c r="T73" s="1" t="str">
        <f t="shared" si="1"/>
        <v>&lt;tr&gt; &lt;td&gt;3617401&lt;/td&gt;&lt;td&gt;SERVOMESH SP 220 - 210L BRL&lt;/td&gt;&lt;td&gt;210&lt;/td&gt;&lt;td&gt;209&lt;/td&gt;&lt;td&gt;35&lt;/td&gt;&lt;td&gt;0&lt;/td&gt;&lt;td&gt;0&lt;/td&gt;&lt;td&gt;205.32&lt;/td&gt;&lt;td&gt;43117.2&lt;/td&gt;&lt;/tr&gt;</v>
      </c>
    </row>
    <row r="74" spans="1:20" x14ac:dyDescent="0.3">
      <c r="A74" s="1" t="s">
        <v>13</v>
      </c>
      <c r="B74" s="1">
        <v>3923401</v>
      </c>
      <c r="C74" s="1" t="s">
        <v>14</v>
      </c>
      <c r="D74" s="1" t="s">
        <v>86</v>
      </c>
      <c r="E74" s="1" t="s">
        <v>14</v>
      </c>
      <c r="F74" s="1">
        <v>210</v>
      </c>
      <c r="G74" s="1" t="s">
        <v>14</v>
      </c>
      <c r="H74" s="1">
        <v>171</v>
      </c>
      <c r="I74" s="1" t="s">
        <v>14</v>
      </c>
      <c r="J74" s="1">
        <v>22</v>
      </c>
      <c r="K74" s="1" t="s">
        <v>14</v>
      </c>
      <c r="L74" s="1">
        <v>0</v>
      </c>
      <c r="M74" s="1" t="s">
        <v>14</v>
      </c>
      <c r="N74" s="1">
        <v>0</v>
      </c>
      <c r="O74" s="1" t="s">
        <v>14</v>
      </c>
      <c r="P74" s="1">
        <v>175.82</v>
      </c>
      <c r="Q74" s="1" t="s">
        <v>14</v>
      </c>
      <c r="R74" s="1">
        <v>36922.199999999997</v>
      </c>
      <c r="S74" s="1" t="s">
        <v>12</v>
      </c>
      <c r="T74" s="1" t="str">
        <f t="shared" si="1"/>
        <v>&lt;tr&gt; &lt;td&gt;3923401&lt;/td&gt;&lt;td&gt;SERVOFRIZ NH 68 - 210 L BRL&lt;/td&gt;&lt;td&gt;210&lt;/td&gt;&lt;td&gt;171&lt;/td&gt;&lt;td&gt;22&lt;/td&gt;&lt;td&gt;0&lt;/td&gt;&lt;td&gt;0&lt;/td&gt;&lt;td&gt;175.82&lt;/td&gt;&lt;td&gt;36922.2&lt;/td&gt;&lt;/tr&gt;</v>
      </c>
    </row>
    <row r="75" spans="1:20" x14ac:dyDescent="0.3">
      <c r="A75" s="1" t="s">
        <v>13</v>
      </c>
      <c r="B75" s="1">
        <v>4803401</v>
      </c>
      <c r="C75" s="1" t="s">
        <v>14</v>
      </c>
      <c r="D75" s="1" t="s">
        <v>87</v>
      </c>
      <c r="E75" s="1" t="s">
        <v>14</v>
      </c>
      <c r="F75" s="1">
        <v>210</v>
      </c>
      <c r="G75" s="1" t="s">
        <v>14</v>
      </c>
      <c r="H75" s="1">
        <v>177</v>
      </c>
      <c r="I75" s="1" t="s">
        <v>14</v>
      </c>
      <c r="J75" s="1">
        <v>57</v>
      </c>
      <c r="K75" s="1" t="s">
        <v>14</v>
      </c>
      <c r="L75" s="1">
        <v>0</v>
      </c>
      <c r="M75" s="1" t="s">
        <v>14</v>
      </c>
      <c r="N75" s="1">
        <v>0</v>
      </c>
      <c r="O75" s="1" t="s">
        <v>14</v>
      </c>
      <c r="P75" s="1">
        <v>141.6</v>
      </c>
      <c r="Q75" s="1" t="s">
        <v>14</v>
      </c>
      <c r="R75" s="1">
        <v>29736</v>
      </c>
      <c r="S75" s="1" t="s">
        <v>12</v>
      </c>
      <c r="T75" s="1" t="str">
        <f t="shared" si="1"/>
        <v>&lt;tr&gt; &lt;td&gt;4803401&lt;/td&gt;&lt;td&gt;SERVOTHERM SPECIAL-210L BRL&lt;/td&gt;&lt;td&gt;210&lt;/td&gt;&lt;td&gt;177&lt;/td&gt;&lt;td&gt;57&lt;/td&gt;&lt;td&gt;0&lt;/td&gt;&lt;td&gt;0&lt;/td&gt;&lt;td&gt;141.6&lt;/td&gt;&lt;td&gt;29736&lt;/td&gt;&lt;/tr&gt;</v>
      </c>
    </row>
    <row r="76" spans="1:20" x14ac:dyDescent="0.3">
      <c r="A76" s="1" t="s">
        <v>13</v>
      </c>
      <c r="B76" s="1">
        <v>4811401</v>
      </c>
      <c r="C76" s="1" t="s">
        <v>14</v>
      </c>
      <c r="D76" s="1" t="s">
        <v>88</v>
      </c>
      <c r="E76" s="1" t="s">
        <v>14</v>
      </c>
      <c r="F76" s="1">
        <v>210</v>
      </c>
      <c r="G76" s="1" t="s">
        <v>14</v>
      </c>
      <c r="H76" s="1">
        <v>190</v>
      </c>
      <c r="I76" s="1" t="s">
        <v>14</v>
      </c>
      <c r="J76" s="1">
        <v>50</v>
      </c>
      <c r="K76" s="1" t="s">
        <v>14</v>
      </c>
      <c r="L76" s="1">
        <v>0</v>
      </c>
      <c r="M76" s="1" t="s">
        <v>14</v>
      </c>
      <c r="N76" s="1">
        <v>0</v>
      </c>
      <c r="O76" s="1" t="s">
        <v>14</v>
      </c>
      <c r="P76" s="1">
        <v>165.2</v>
      </c>
      <c r="Q76" s="1" t="s">
        <v>14</v>
      </c>
      <c r="R76" s="1">
        <v>34692</v>
      </c>
      <c r="S76" s="1" t="s">
        <v>12</v>
      </c>
      <c r="T76" s="1" t="str">
        <f t="shared" si="1"/>
        <v>&lt;tr&gt; &lt;td&gt;4811401&lt;/td&gt;&lt;td&gt;SERVOTHERM S SPECIAL-210 L BRL&lt;/td&gt;&lt;td&gt;210&lt;/td&gt;&lt;td&gt;190&lt;/td&gt;&lt;td&gt;50&lt;/td&gt;&lt;td&gt;0&lt;/td&gt;&lt;td&gt;0&lt;/td&gt;&lt;td&gt;165.2&lt;/td&gt;&lt;td&gt;34692&lt;/td&gt;&lt;/tr&gt;</v>
      </c>
    </row>
    <row r="77" spans="1:20" x14ac:dyDescent="0.3">
      <c r="A77" s="1" t="s">
        <v>13</v>
      </c>
      <c r="B77" s="1">
        <v>4501401</v>
      </c>
      <c r="C77" s="1" t="s">
        <v>14</v>
      </c>
      <c r="D77" s="1" t="s">
        <v>89</v>
      </c>
      <c r="E77" s="1" t="s">
        <v>14</v>
      </c>
      <c r="F77" s="1">
        <v>210</v>
      </c>
      <c r="G77" s="1" t="s">
        <v>14</v>
      </c>
      <c r="H77" s="1">
        <v>190</v>
      </c>
      <c r="I77" s="1" t="s">
        <v>14</v>
      </c>
      <c r="J77" s="1">
        <v>57</v>
      </c>
      <c r="K77" s="1" t="s">
        <v>14</v>
      </c>
      <c r="L77" s="1">
        <v>0</v>
      </c>
      <c r="M77" s="1" t="s">
        <v>14</v>
      </c>
      <c r="N77" s="1">
        <v>0</v>
      </c>
      <c r="O77" s="1" t="s">
        <v>14</v>
      </c>
      <c r="P77" s="1">
        <v>156.94</v>
      </c>
      <c r="Q77" s="1" t="s">
        <v>14</v>
      </c>
      <c r="R77" s="1">
        <v>32957.4</v>
      </c>
      <c r="S77" s="1" t="s">
        <v>12</v>
      </c>
      <c r="T77" s="1" t="str">
        <f t="shared" si="1"/>
        <v>&lt;tr&gt; &lt;td&gt;4501401&lt;/td&gt;&lt;td&gt;SERVOCUT S - 210L BRL&lt;/td&gt;&lt;td&gt;210&lt;/td&gt;&lt;td&gt;190&lt;/td&gt;&lt;td&gt;57&lt;/td&gt;&lt;td&gt;0&lt;/td&gt;&lt;td&gt;0&lt;/td&gt;&lt;td&gt;156.94&lt;/td&gt;&lt;td&gt;32957.4&lt;/td&gt;&lt;/tr&gt;</v>
      </c>
    </row>
    <row r="78" spans="1:20" x14ac:dyDescent="0.3">
      <c r="A78" s="1" t="s">
        <v>13</v>
      </c>
      <c r="B78" s="1">
        <v>7403401</v>
      </c>
      <c r="C78" s="1" t="s">
        <v>14</v>
      </c>
      <c r="D78" s="1" t="s">
        <v>90</v>
      </c>
      <c r="E78" s="1" t="s">
        <v>14</v>
      </c>
      <c r="F78" s="1">
        <v>210</v>
      </c>
      <c r="G78" s="1" t="s">
        <v>14</v>
      </c>
      <c r="H78" s="1">
        <v>120</v>
      </c>
      <c r="I78" s="1" t="s">
        <v>14</v>
      </c>
      <c r="J78" s="1">
        <v>0</v>
      </c>
      <c r="K78" s="1" t="s">
        <v>14</v>
      </c>
      <c r="L78" s="1">
        <v>0</v>
      </c>
      <c r="M78" s="1" t="s">
        <v>14</v>
      </c>
      <c r="N78" s="1">
        <v>0</v>
      </c>
      <c r="O78" s="1" t="s">
        <v>14</v>
      </c>
      <c r="P78" s="1">
        <v>141.6</v>
      </c>
      <c r="Q78" s="1" t="s">
        <v>14</v>
      </c>
      <c r="R78" s="1">
        <v>29736</v>
      </c>
      <c r="S78" s="1" t="s">
        <v>12</v>
      </c>
      <c r="T78" s="1" t="str">
        <f t="shared" si="1"/>
        <v>&lt;tr&gt; &lt;td&gt;7403401&lt;/td&gt;&lt;td&gt;SERVOELECTRA - 210L BRL&lt;/td&gt;&lt;td&gt;210&lt;/td&gt;&lt;td&gt;120&lt;/td&gt;&lt;td&gt;0&lt;/td&gt;&lt;td&gt;0&lt;/td&gt;&lt;td&gt;0&lt;/td&gt;&lt;td&gt;141.6&lt;/td&gt;&lt;td&gt;29736&lt;/td&gt;&lt;/tr&gt;</v>
      </c>
    </row>
    <row r="79" spans="1:20" x14ac:dyDescent="0.3">
      <c r="A79" s="1" t="s">
        <v>13</v>
      </c>
      <c r="B79" s="1">
        <v>7330403</v>
      </c>
      <c r="C79" s="1" t="s">
        <v>14</v>
      </c>
      <c r="D79" s="1" t="s">
        <v>91</v>
      </c>
      <c r="E79" s="1" t="s">
        <v>14</v>
      </c>
      <c r="F79" s="1">
        <v>210</v>
      </c>
      <c r="G79" s="1" t="s">
        <v>14</v>
      </c>
      <c r="H79" s="1">
        <v>44</v>
      </c>
      <c r="I79" s="1" t="s">
        <v>14</v>
      </c>
      <c r="J79" s="1">
        <v>0</v>
      </c>
      <c r="K79" s="1" t="s">
        <v>14</v>
      </c>
      <c r="L79" s="1">
        <v>0</v>
      </c>
      <c r="M79" s="1" t="s">
        <v>14</v>
      </c>
      <c r="N79" s="1">
        <v>0</v>
      </c>
      <c r="O79" s="1" t="s">
        <v>14</v>
      </c>
      <c r="P79" s="1">
        <v>51.919999999999995</v>
      </c>
      <c r="Q79" s="1" t="s">
        <v>14</v>
      </c>
      <c r="R79" s="1">
        <v>10903.199999999999</v>
      </c>
      <c r="S79" s="1" t="s">
        <v>12</v>
      </c>
      <c r="T79" s="1" t="str">
        <f t="shared" si="1"/>
        <v>&lt;tr&gt; &lt;td&gt;7330403&lt;/td&gt;&lt;td&gt;IOC CLEARBLUE-210 L HD&lt;/td&gt;&lt;td&gt;210&lt;/td&gt;&lt;td&gt;44&lt;/td&gt;&lt;td&gt;0&lt;/td&gt;&lt;td&gt;0&lt;/td&gt;&lt;td&gt;0&lt;/td&gt;&lt;td&gt;51.92&lt;/td&gt;&lt;td&gt;10903.2&lt;/td&gt;&lt;/tr&gt;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94C9-2898-4307-ACFE-7852F90C3697}">
  <dimension ref="A2:Z275"/>
  <sheetViews>
    <sheetView topLeftCell="H248" workbookViewId="0">
      <selection activeCell="L271" sqref="L271"/>
    </sheetView>
  </sheetViews>
  <sheetFormatPr defaultRowHeight="14.4" x14ac:dyDescent="0.3"/>
  <cols>
    <col min="4" max="4" width="46.21875" bestFit="1" customWidth="1"/>
    <col min="12" max="12" width="15.88671875" bestFit="1" customWidth="1"/>
    <col min="14" max="15" width="11.88671875" customWidth="1"/>
  </cols>
  <sheetData>
    <row r="2" spans="1:26" s="2" customFormat="1" ht="43.2" x14ac:dyDescent="0.3">
      <c r="A2" s="1" t="s">
        <v>0</v>
      </c>
      <c r="B2" s="2" t="s">
        <v>1</v>
      </c>
      <c r="C2" s="1" t="s">
        <v>2</v>
      </c>
      <c r="D2" s="2" t="s">
        <v>3</v>
      </c>
      <c r="E2" s="2" t="s">
        <v>4</v>
      </c>
      <c r="F2" s="2" t="s">
        <v>92</v>
      </c>
      <c r="G2" s="1" t="s">
        <v>2</v>
      </c>
      <c r="H2" s="2" t="s">
        <v>93</v>
      </c>
      <c r="I2" s="2" t="s">
        <v>4</v>
      </c>
      <c r="J2" s="2" t="s">
        <v>7</v>
      </c>
      <c r="K2" s="1" t="s">
        <v>2</v>
      </c>
      <c r="L2" s="2" t="s">
        <v>8</v>
      </c>
      <c r="M2" s="1" t="s">
        <v>4</v>
      </c>
      <c r="N2" s="2" t="s">
        <v>94</v>
      </c>
      <c r="O2" s="1" t="s">
        <v>2</v>
      </c>
      <c r="P2" s="2" t="s">
        <v>95</v>
      </c>
      <c r="Q2" s="1" t="s">
        <v>4</v>
      </c>
      <c r="R2" s="2" t="s">
        <v>96</v>
      </c>
      <c r="S2" s="1" t="s">
        <v>2</v>
      </c>
      <c r="T2" s="2" t="s">
        <v>97</v>
      </c>
      <c r="U2" s="1" t="s">
        <v>4</v>
      </c>
      <c r="V2" s="2" t="s">
        <v>98</v>
      </c>
      <c r="W2" s="1" t="s">
        <v>2</v>
      </c>
      <c r="X2" s="2" t="s">
        <v>99</v>
      </c>
      <c r="Y2" s="1" t="s">
        <v>12</v>
      </c>
      <c r="Z2" s="1" t="str">
        <f>CONCATENATE(A2,B2,C2,D2,E2,F2,G2,H2,I2,J2,K2,L2,M2,N2,O2,P2,Q2,R2,S2,T2,U2,V2,W2,X2,Y2)</f>
        <v>&lt;tr&gt;&lt;th&gt;Mat code&lt;/th&gt;Mat Description&lt;th&gt;MRP/Pc&lt;/th&gt;DLP/Pc&lt;th&gt;Disc/L&lt;/th&gt;Market Support /L&lt;th&gt;SUMMER/BONANZA SCHEME /L&lt;/th&gt;Invoice rate/ Item&lt;th&gt;Margin/ Item&lt;/th&gt;Margin/L&lt;th&gt;Margin %&lt;/th&gt;Per case&lt;/td&gt;&lt;/tr&gt;</v>
      </c>
    </row>
    <row r="3" spans="1:26" x14ac:dyDescent="0.3">
      <c r="A3" s="1" t="s">
        <v>13</v>
      </c>
      <c r="B3">
        <v>2540199</v>
      </c>
      <c r="C3" s="1" t="s">
        <v>14</v>
      </c>
      <c r="D3" t="s">
        <v>100</v>
      </c>
      <c r="E3" s="1" t="s">
        <v>14</v>
      </c>
      <c r="F3">
        <v>750</v>
      </c>
      <c r="G3" s="1" t="s">
        <v>14</v>
      </c>
      <c r="H3">
        <v>601.95000000000005</v>
      </c>
      <c r="I3" s="1" t="s">
        <v>14</v>
      </c>
      <c r="J3">
        <v>0</v>
      </c>
      <c r="K3" s="1" t="s">
        <v>14</v>
      </c>
      <c r="L3">
        <v>0</v>
      </c>
      <c r="M3" s="1" t="s">
        <v>14</v>
      </c>
      <c r="N3">
        <v>0</v>
      </c>
      <c r="O3" s="1" t="s">
        <v>14</v>
      </c>
      <c r="P3">
        <v>601.95000000000005</v>
      </c>
      <c r="Q3" s="1" t="s">
        <v>14</v>
      </c>
      <c r="R3">
        <v>148.04999999999995</v>
      </c>
      <c r="S3" s="1" t="s">
        <v>14</v>
      </c>
      <c r="T3">
        <v>70.499999999999943</v>
      </c>
      <c r="U3" s="1" t="s">
        <v>14</v>
      </c>
      <c r="V3">
        <v>24.595066035384988</v>
      </c>
      <c r="W3" s="1" t="s">
        <v>14</v>
      </c>
      <c r="X3">
        <v>2407.8000000000002</v>
      </c>
      <c r="Y3" s="1" t="s">
        <v>12</v>
      </c>
      <c r="Z3" s="1" t="str">
        <f t="shared" ref="Z3:Z66" si="0">CONCATENATE(A3,B3,C3,D3,E3,F3,G3,H3,I3,J3,K3,L3,M3,N3,O3,P3,Q3,R3,S3,T3,U3,V3,W3,X3,Y3)</f>
        <v>&lt;tr&gt; &lt;td&gt;2540199&lt;/td&gt;&lt;td&gt;MGGO 80W-90 - 4 X 2.1 L&lt;/td&gt;&lt;td&gt;750&lt;/td&gt;&lt;td&gt;601.95&lt;/td&gt;&lt;td&gt;0&lt;/td&gt;&lt;td&gt;0&lt;/td&gt;&lt;td&gt;0&lt;/td&gt;&lt;td&gt;601.95&lt;/td&gt;&lt;td&gt;148.05&lt;/td&gt;&lt;td&gt;70.4999999999999&lt;/td&gt;&lt;td&gt;24.595066035385&lt;/td&gt;&lt;td&gt;2407.8&lt;/td&gt;&lt;/tr&gt;</v>
      </c>
    </row>
    <row r="4" spans="1:26" x14ac:dyDescent="0.3">
      <c r="A4" s="1" t="s">
        <v>13</v>
      </c>
      <c r="B4">
        <v>2960184</v>
      </c>
      <c r="C4" s="1" t="s">
        <v>14</v>
      </c>
      <c r="D4" t="s">
        <v>101</v>
      </c>
      <c r="E4" s="1" t="s">
        <v>14</v>
      </c>
      <c r="F4">
        <v>1165</v>
      </c>
      <c r="G4" s="1" t="s">
        <v>14</v>
      </c>
      <c r="H4">
        <v>757.59949999999992</v>
      </c>
      <c r="I4" s="1" t="s">
        <v>14</v>
      </c>
      <c r="J4">
        <v>0</v>
      </c>
      <c r="K4" s="1" t="s">
        <v>14</v>
      </c>
      <c r="L4">
        <v>0</v>
      </c>
      <c r="M4" s="1" t="s">
        <v>14</v>
      </c>
      <c r="N4">
        <v>0</v>
      </c>
      <c r="O4" s="1" t="s">
        <v>14</v>
      </c>
      <c r="P4">
        <v>757.59949999999992</v>
      </c>
      <c r="Q4" s="1" t="s">
        <v>14</v>
      </c>
      <c r="R4">
        <v>407.40050000000008</v>
      </c>
      <c r="S4" s="1" t="s">
        <v>14</v>
      </c>
      <c r="T4">
        <v>407.40050000000008</v>
      </c>
      <c r="U4" s="1" t="s">
        <v>14</v>
      </c>
      <c r="V4">
        <v>53.77518068583732</v>
      </c>
      <c r="W4" s="1" t="s">
        <v>14</v>
      </c>
      <c r="X4">
        <v>15151.990000000009</v>
      </c>
      <c r="Y4" s="1" t="s">
        <v>12</v>
      </c>
      <c r="Z4" s="1" t="str">
        <f t="shared" si="0"/>
        <v>&lt;tr&gt; &lt;td&gt;2960184&lt;/td&gt;&lt;td&gt;SERVO FUTURA SYNTH 0W-40-20 X 1 L&lt;/td&gt;&lt;td&gt;1165&lt;/td&gt;&lt;td&gt;757.5995&lt;/td&gt;&lt;td&gt;0&lt;/td&gt;&lt;td&gt;0&lt;/td&gt;&lt;td&gt;0&lt;/td&gt;&lt;td&gt;757.5995&lt;/td&gt;&lt;td&gt;407.4005&lt;/td&gt;&lt;td&gt;407.4005&lt;/td&gt;&lt;td&gt;53.7751806858373&lt;/td&gt;&lt;td&gt;15151.99&lt;/td&gt;&lt;/tr&gt;</v>
      </c>
    </row>
    <row r="5" spans="1:26" x14ac:dyDescent="0.3">
      <c r="A5" s="1" t="s">
        <v>13</v>
      </c>
      <c r="B5">
        <v>2960222</v>
      </c>
      <c r="C5" s="1" t="s">
        <v>14</v>
      </c>
      <c r="D5" t="s">
        <v>102</v>
      </c>
      <c r="E5" s="1" t="s">
        <v>14</v>
      </c>
      <c r="F5">
        <v>4660</v>
      </c>
      <c r="G5" s="1" t="s">
        <v>14</v>
      </c>
      <c r="H5">
        <v>3030.3979999999997</v>
      </c>
      <c r="I5" s="1" t="s">
        <v>14</v>
      </c>
      <c r="J5">
        <v>0</v>
      </c>
      <c r="K5" s="1" t="s">
        <v>14</v>
      </c>
      <c r="L5">
        <v>0</v>
      </c>
      <c r="M5" s="1" t="s">
        <v>14</v>
      </c>
      <c r="N5">
        <v>0</v>
      </c>
      <c r="O5" s="1" t="s">
        <v>14</v>
      </c>
      <c r="P5">
        <v>3030.3979999999997</v>
      </c>
      <c r="Q5" s="1" t="s">
        <v>14</v>
      </c>
      <c r="R5">
        <v>1629.6020000000003</v>
      </c>
      <c r="S5" s="1" t="s">
        <v>14</v>
      </c>
      <c r="T5">
        <v>407.40050000000008</v>
      </c>
      <c r="U5" s="1" t="s">
        <v>14</v>
      </c>
      <c r="V5">
        <v>53.77518068583732</v>
      </c>
      <c r="W5" s="1" t="s">
        <v>14</v>
      </c>
      <c r="X5">
        <v>12121.592000000006</v>
      </c>
      <c r="Y5" s="1" t="s">
        <v>12</v>
      </c>
      <c r="Z5" s="1" t="str">
        <f t="shared" si="0"/>
        <v>&lt;tr&gt; &lt;td&gt;2960222&lt;/td&gt;&lt;td&gt;SERVO FUTURA SYNTH 0W-40-4 x 4 L&lt;/td&gt;&lt;td&gt;4660&lt;/td&gt;&lt;td&gt;3030.398&lt;/td&gt;&lt;td&gt;0&lt;/td&gt;&lt;td&gt;0&lt;/td&gt;&lt;td&gt;0&lt;/td&gt;&lt;td&gt;3030.398&lt;/td&gt;&lt;td&gt;1629.602&lt;/td&gt;&lt;td&gt;407.4005&lt;/td&gt;&lt;td&gt;53.7751806858373&lt;/td&gt;&lt;td&gt;12121.592&lt;/td&gt;&lt;/tr&gt;</v>
      </c>
    </row>
    <row r="6" spans="1:26" x14ac:dyDescent="0.3">
      <c r="A6" s="1" t="s">
        <v>13</v>
      </c>
      <c r="B6">
        <v>7427213</v>
      </c>
      <c r="C6" s="1" t="s">
        <v>14</v>
      </c>
      <c r="D6" t="s">
        <v>103</v>
      </c>
      <c r="E6" s="1" t="s">
        <v>14</v>
      </c>
      <c r="F6">
        <v>1614</v>
      </c>
      <c r="G6" s="1" t="s">
        <v>14</v>
      </c>
      <c r="H6">
        <v>1415.8008</v>
      </c>
      <c r="I6" s="1" t="s">
        <v>14</v>
      </c>
      <c r="J6">
        <v>46</v>
      </c>
      <c r="K6" s="1" t="s">
        <v>14</v>
      </c>
      <c r="L6">
        <v>0</v>
      </c>
      <c r="M6" s="1" t="s">
        <v>14</v>
      </c>
      <c r="N6">
        <v>0</v>
      </c>
      <c r="O6" s="1" t="s">
        <v>14</v>
      </c>
      <c r="P6">
        <v>1225.8208</v>
      </c>
      <c r="Q6" s="1" t="s">
        <v>14</v>
      </c>
      <c r="R6">
        <v>388.17920000000004</v>
      </c>
      <c r="S6" s="1" t="s">
        <v>14</v>
      </c>
      <c r="T6">
        <v>110.90834285714288</v>
      </c>
      <c r="U6" s="1" t="s">
        <v>14</v>
      </c>
      <c r="V6">
        <v>31.666879857153674</v>
      </c>
      <c r="W6" s="1" t="s">
        <v>14</v>
      </c>
      <c r="X6">
        <v>4903.2832000000008</v>
      </c>
      <c r="Y6" s="1" t="s">
        <v>12</v>
      </c>
      <c r="Z6" s="1" t="str">
        <f t="shared" si="0"/>
        <v>&lt;tr&gt; &lt;td&gt;7427213&lt;/td&gt;&lt;td&gt;ECSTAR PETROL 0W-20-4 X 3.5 L&lt;/td&gt;&lt;td&gt;1614&lt;/td&gt;&lt;td&gt;1415.8008&lt;/td&gt;&lt;td&gt;46&lt;/td&gt;&lt;td&gt;0&lt;/td&gt;&lt;td&gt;0&lt;/td&gt;&lt;td&gt;1225.8208&lt;/td&gt;&lt;td&gt;388.1792&lt;/td&gt;&lt;td&gt;110.908342857143&lt;/td&gt;&lt;td&gt;31.6668798571537&lt;/td&gt;&lt;td&gt;4903.2832&lt;/td&gt;&lt;/tr&gt;</v>
      </c>
    </row>
    <row r="7" spans="1:26" x14ac:dyDescent="0.3">
      <c r="A7" s="1" t="s">
        <v>13</v>
      </c>
      <c r="B7">
        <v>7428213</v>
      </c>
      <c r="C7" s="1" t="s">
        <v>14</v>
      </c>
      <c r="D7" t="s">
        <v>104</v>
      </c>
      <c r="E7" s="1" t="s">
        <v>14</v>
      </c>
      <c r="F7">
        <v>2167</v>
      </c>
      <c r="G7" s="1" t="s">
        <v>14</v>
      </c>
      <c r="H7">
        <v>1749.6357999999998</v>
      </c>
      <c r="I7" s="1" t="s">
        <v>14</v>
      </c>
      <c r="J7">
        <v>21</v>
      </c>
      <c r="K7" s="1" t="s">
        <v>14</v>
      </c>
      <c r="L7">
        <v>0</v>
      </c>
      <c r="M7" s="1" t="s">
        <v>14</v>
      </c>
      <c r="N7">
        <v>0</v>
      </c>
      <c r="O7" s="1" t="s">
        <v>14</v>
      </c>
      <c r="P7">
        <v>1662.9057999999998</v>
      </c>
      <c r="Q7" s="1" t="s">
        <v>14</v>
      </c>
      <c r="R7">
        <v>504.09420000000023</v>
      </c>
      <c r="S7" s="1" t="s">
        <v>14</v>
      </c>
      <c r="T7">
        <v>144.02691428571433</v>
      </c>
      <c r="U7" s="1" t="s">
        <v>14</v>
      </c>
      <c r="V7">
        <v>30.314056274264018</v>
      </c>
      <c r="W7" s="1" t="s">
        <v>14</v>
      </c>
      <c r="X7">
        <v>6651.6232000000009</v>
      </c>
      <c r="Y7" s="1" t="s">
        <v>12</v>
      </c>
      <c r="Z7" s="1" t="str">
        <f t="shared" si="0"/>
        <v>&lt;tr&gt; &lt;td&gt;7428213&lt;/td&gt;&lt;td&gt;ECSTAR DIESEL 5W-30-4 X 3.5 L&lt;/td&gt;&lt;td&gt;2167&lt;/td&gt;&lt;td&gt;1749.6358&lt;/td&gt;&lt;td&gt;21&lt;/td&gt;&lt;td&gt;0&lt;/td&gt;&lt;td&gt;0&lt;/td&gt;&lt;td&gt;1662.9058&lt;/td&gt;&lt;td&gt;504.0942&lt;/td&gt;&lt;td&gt;144.026914285714&lt;/td&gt;&lt;td&gt;30.314056274264&lt;/td&gt;&lt;td&gt;6651.6232&lt;/td&gt;&lt;/tr&gt;</v>
      </c>
    </row>
    <row r="8" spans="1:26" x14ac:dyDescent="0.3">
      <c r="A8" s="1" t="s">
        <v>13</v>
      </c>
      <c r="B8">
        <v>7600184</v>
      </c>
      <c r="C8" s="1" t="s">
        <v>14</v>
      </c>
      <c r="D8" t="s">
        <v>105</v>
      </c>
      <c r="E8" s="1" t="s">
        <v>14</v>
      </c>
      <c r="F8">
        <v>339</v>
      </c>
      <c r="G8" s="1" t="s">
        <v>14</v>
      </c>
      <c r="H8">
        <v>261.1995</v>
      </c>
      <c r="I8" s="1" t="s">
        <v>14</v>
      </c>
      <c r="J8">
        <v>6</v>
      </c>
      <c r="K8" s="1" t="s">
        <v>14</v>
      </c>
      <c r="L8">
        <v>0</v>
      </c>
      <c r="M8" s="1" t="s">
        <v>14</v>
      </c>
      <c r="N8">
        <v>0</v>
      </c>
      <c r="O8" s="1" t="s">
        <v>14</v>
      </c>
      <c r="P8">
        <v>254.11949999999999</v>
      </c>
      <c r="Q8" s="1" t="s">
        <v>14</v>
      </c>
      <c r="R8">
        <v>84.880500000000012</v>
      </c>
      <c r="S8" s="1" t="s">
        <v>14</v>
      </c>
      <c r="T8">
        <v>84.880500000000012</v>
      </c>
      <c r="U8" s="1" t="s">
        <v>14</v>
      </c>
      <c r="V8">
        <v>33.401805056282576</v>
      </c>
      <c r="W8" s="1" t="s">
        <v>14</v>
      </c>
      <c r="X8">
        <v>5082.3900000000031</v>
      </c>
      <c r="Y8" s="1" t="s">
        <v>12</v>
      </c>
      <c r="Z8" s="1" t="str">
        <f t="shared" si="0"/>
        <v>&lt;tr&gt; &lt;td&gt;7600184&lt;/td&gt;&lt;td&gt;MGO 20W-40 - 20 X 1 L&lt;/td&gt;&lt;td&gt;339&lt;/td&gt;&lt;td&gt;261.1995&lt;/td&gt;&lt;td&gt;6&lt;/td&gt;&lt;td&gt;0&lt;/td&gt;&lt;td&gt;0&lt;/td&gt;&lt;td&gt;254.1195&lt;/td&gt;&lt;td&gt;84.8805&lt;/td&gt;&lt;td&gt;84.8805&lt;/td&gt;&lt;td&gt;33.4018050562826&lt;/td&gt;&lt;td&gt;5082.39&lt;/td&gt;&lt;/tr&gt;</v>
      </c>
    </row>
    <row r="9" spans="1:26" x14ac:dyDescent="0.3">
      <c r="A9" s="1" t="s">
        <v>13</v>
      </c>
      <c r="B9">
        <v>7600203</v>
      </c>
      <c r="C9" s="1" t="s">
        <v>14</v>
      </c>
      <c r="D9" t="s">
        <v>106</v>
      </c>
      <c r="E9" s="1" t="s">
        <v>14</v>
      </c>
      <c r="F9">
        <v>1017</v>
      </c>
      <c r="G9" s="1" t="s">
        <v>14</v>
      </c>
      <c r="H9">
        <v>759.39390000000003</v>
      </c>
      <c r="I9" s="1" t="s">
        <v>14</v>
      </c>
      <c r="J9">
        <v>21</v>
      </c>
      <c r="K9" s="1" t="s">
        <v>14</v>
      </c>
      <c r="L9">
        <v>0</v>
      </c>
      <c r="M9" s="1" t="s">
        <v>14</v>
      </c>
      <c r="N9">
        <v>0</v>
      </c>
      <c r="O9" s="1" t="s">
        <v>14</v>
      </c>
      <c r="P9">
        <v>685.0539</v>
      </c>
      <c r="Q9" s="1" t="s">
        <v>14</v>
      </c>
      <c r="R9">
        <v>331.9461</v>
      </c>
      <c r="S9" s="1" t="s">
        <v>14</v>
      </c>
      <c r="T9">
        <v>110.64869999999999</v>
      </c>
      <c r="U9" s="1" t="s">
        <v>14</v>
      </c>
      <c r="V9">
        <v>48.45547189790468</v>
      </c>
      <c r="W9" s="1" t="s">
        <v>14</v>
      </c>
      <c r="X9">
        <v>2740.2156000000014</v>
      </c>
      <c r="Y9" s="1" t="s">
        <v>12</v>
      </c>
      <c r="Z9" s="1" t="str">
        <f t="shared" si="0"/>
        <v>&lt;tr&gt; &lt;td&gt;7600203&lt;/td&gt;&lt;td&gt;MGO 20W-40 - 4 X 3 L&lt;/td&gt;&lt;td&gt;1017&lt;/td&gt;&lt;td&gt;759.3939&lt;/td&gt;&lt;td&gt;21&lt;/td&gt;&lt;td&gt;0&lt;/td&gt;&lt;td&gt;0&lt;/td&gt;&lt;td&gt;685.0539&lt;/td&gt;&lt;td&gt;331.9461&lt;/td&gt;&lt;td&gt;110.6487&lt;/td&gt;&lt;td&gt;48.4554718979047&lt;/td&gt;&lt;td&gt;2740.2156&lt;/td&gt;&lt;/tr&gt;</v>
      </c>
    </row>
    <row r="10" spans="1:26" x14ac:dyDescent="0.3">
      <c r="A10" s="1" t="s">
        <v>13</v>
      </c>
      <c r="B10">
        <v>7670213</v>
      </c>
      <c r="C10" s="1" t="s">
        <v>14</v>
      </c>
      <c r="D10" t="s">
        <v>107</v>
      </c>
      <c r="E10" s="1" t="s">
        <v>14</v>
      </c>
      <c r="F10">
        <v>1215</v>
      </c>
      <c r="G10" s="1" t="s">
        <v>14</v>
      </c>
      <c r="H10">
        <v>979.65449999999998</v>
      </c>
      <c r="I10" s="1" t="s">
        <v>14</v>
      </c>
      <c r="J10">
        <v>16</v>
      </c>
      <c r="K10" s="1" t="s">
        <v>14</v>
      </c>
      <c r="L10">
        <v>0</v>
      </c>
      <c r="M10" s="1" t="s">
        <v>14</v>
      </c>
      <c r="N10">
        <v>0</v>
      </c>
      <c r="O10" s="1" t="s">
        <v>14</v>
      </c>
      <c r="P10">
        <v>913.57449999999994</v>
      </c>
      <c r="Q10" s="1" t="s">
        <v>14</v>
      </c>
      <c r="R10">
        <v>301.42550000000006</v>
      </c>
      <c r="S10" s="1" t="s">
        <v>14</v>
      </c>
      <c r="T10">
        <v>86.121571428571485</v>
      </c>
      <c r="U10" s="1" t="s">
        <v>14</v>
      </c>
      <c r="V10">
        <v>32.994079847894184</v>
      </c>
      <c r="W10" s="1" t="s">
        <v>14</v>
      </c>
      <c r="X10">
        <v>3654.2980000000007</v>
      </c>
      <c r="Y10" s="1" t="s">
        <v>12</v>
      </c>
      <c r="Z10" s="1" t="str">
        <f t="shared" si="0"/>
        <v>&lt;tr&gt; &lt;td&gt;7670213&lt;/td&gt;&lt;td&gt;MGDO 15W-40 - 4 X 3.5 L&lt;/td&gt;&lt;td&gt;1215&lt;/td&gt;&lt;td&gt;979.6545&lt;/td&gt;&lt;td&gt;16&lt;/td&gt;&lt;td&gt;0&lt;/td&gt;&lt;td&gt;0&lt;/td&gt;&lt;td&gt;913.5745&lt;/td&gt;&lt;td&gt;301.4255&lt;/td&gt;&lt;td&gt;86.1215714285715&lt;/td&gt;&lt;td&gt;32.9940798478942&lt;/td&gt;&lt;td&gt;3654.298&lt;/td&gt;&lt;/tr&gt;</v>
      </c>
    </row>
    <row r="11" spans="1:26" x14ac:dyDescent="0.3">
      <c r="A11" s="1" t="s">
        <v>13</v>
      </c>
      <c r="B11">
        <v>7688203</v>
      </c>
      <c r="C11" s="1" t="s">
        <v>14</v>
      </c>
      <c r="D11" t="s">
        <v>108</v>
      </c>
      <c r="E11" s="1" t="s">
        <v>14</v>
      </c>
      <c r="F11">
        <v>1077</v>
      </c>
      <c r="G11" s="1" t="s">
        <v>14</v>
      </c>
      <c r="H11">
        <v>857.29199999999992</v>
      </c>
      <c r="I11" s="1" t="s">
        <v>14</v>
      </c>
      <c r="J11">
        <v>21</v>
      </c>
      <c r="K11" s="1" t="s">
        <v>14</v>
      </c>
      <c r="L11">
        <v>0</v>
      </c>
      <c r="M11" s="1" t="s">
        <v>14</v>
      </c>
      <c r="N11">
        <v>0</v>
      </c>
      <c r="O11" s="1" t="s">
        <v>14</v>
      </c>
      <c r="P11">
        <v>782.95199999999988</v>
      </c>
      <c r="Q11" s="1" t="s">
        <v>14</v>
      </c>
      <c r="R11">
        <v>294.04800000000012</v>
      </c>
      <c r="S11" s="1" t="s">
        <v>14</v>
      </c>
      <c r="T11">
        <v>98.01600000000002</v>
      </c>
      <c r="U11" s="1" t="s">
        <v>14</v>
      </c>
      <c r="V11">
        <v>37.556325291971945</v>
      </c>
      <c r="W11" s="1" t="s">
        <v>14</v>
      </c>
      <c r="X11">
        <v>3131.8080000000009</v>
      </c>
      <c r="Y11" s="1" t="s">
        <v>12</v>
      </c>
      <c r="Z11" s="1" t="str">
        <f t="shared" si="0"/>
        <v>&lt;tr&gt; &lt;td&gt;7688203&lt;/td&gt;&lt;td&gt;MGO 5W-30-4 X 3 L&lt;/td&gt;&lt;td&gt;1077&lt;/td&gt;&lt;td&gt;857.292&lt;/td&gt;&lt;td&gt;21&lt;/td&gt;&lt;td&gt;0&lt;/td&gt;&lt;td&gt;0&lt;/td&gt;&lt;td&gt;782.952&lt;/td&gt;&lt;td&gt;294.048&lt;/td&gt;&lt;td&gt;98.016&lt;/td&gt;&lt;td&gt;37.5563252919719&lt;/td&gt;&lt;td&gt;3131.808&lt;/td&gt;&lt;/tr&gt;</v>
      </c>
    </row>
    <row r="12" spans="1:26" x14ac:dyDescent="0.3">
      <c r="A12" s="1" t="s">
        <v>13</v>
      </c>
      <c r="B12">
        <v>7688213</v>
      </c>
      <c r="C12" s="1" t="s">
        <v>14</v>
      </c>
      <c r="D12" t="s">
        <v>109</v>
      </c>
      <c r="E12" s="1" t="s">
        <v>14</v>
      </c>
      <c r="F12">
        <v>1257</v>
      </c>
      <c r="G12" s="1" t="s">
        <v>14</v>
      </c>
      <c r="H12">
        <v>1000.8234000000001</v>
      </c>
      <c r="I12" s="1" t="s">
        <v>14</v>
      </c>
      <c r="J12">
        <v>21</v>
      </c>
      <c r="K12" s="1" t="s">
        <v>14</v>
      </c>
      <c r="L12">
        <v>0</v>
      </c>
      <c r="M12" s="1" t="s">
        <v>14</v>
      </c>
      <c r="N12">
        <v>0</v>
      </c>
      <c r="O12" s="1" t="s">
        <v>14</v>
      </c>
      <c r="P12">
        <v>914.0934000000002</v>
      </c>
      <c r="Q12" s="1" t="s">
        <v>14</v>
      </c>
      <c r="R12">
        <v>342.9065999999998</v>
      </c>
      <c r="S12" s="1" t="s">
        <v>14</v>
      </c>
      <c r="T12">
        <v>97.973314285714252</v>
      </c>
      <c r="U12" s="1" t="s">
        <v>14</v>
      </c>
      <c r="V12">
        <v>37.513300063210139</v>
      </c>
      <c r="W12" s="1" t="s">
        <v>14</v>
      </c>
      <c r="X12">
        <v>3656.3736000000017</v>
      </c>
      <c r="Y12" s="1" t="s">
        <v>12</v>
      </c>
      <c r="Z12" s="1" t="str">
        <f t="shared" si="0"/>
        <v>&lt;tr&gt; &lt;td&gt;7688213&lt;/td&gt;&lt;td&gt;MGO 5W-30-4x3.5L HDPE&lt;/td&gt;&lt;td&gt;1257&lt;/td&gt;&lt;td&gt;1000.8234&lt;/td&gt;&lt;td&gt;21&lt;/td&gt;&lt;td&gt;0&lt;/td&gt;&lt;td&gt;0&lt;/td&gt;&lt;td&gt;914.0934&lt;/td&gt;&lt;td&gt;342.9066&lt;/td&gt;&lt;td&gt;97.9733142857143&lt;/td&gt;&lt;td&gt;37.5133000632101&lt;/td&gt;&lt;td&gt;3656.3736&lt;/td&gt;&lt;/tr&gt;</v>
      </c>
    </row>
    <row r="13" spans="1:26" x14ac:dyDescent="0.3">
      <c r="A13" s="1" t="s">
        <v>13</v>
      </c>
      <c r="B13">
        <v>2557195</v>
      </c>
      <c r="C13" s="1" t="s">
        <v>14</v>
      </c>
      <c r="D13" t="s">
        <v>110</v>
      </c>
      <c r="E13" s="1" t="s">
        <v>14</v>
      </c>
      <c r="F13">
        <v>1050</v>
      </c>
      <c r="G13" s="1" t="s">
        <v>14</v>
      </c>
      <c r="H13">
        <v>923.68499999999995</v>
      </c>
      <c r="I13" s="1" t="s">
        <v>14</v>
      </c>
      <c r="J13">
        <v>0</v>
      </c>
      <c r="K13" s="1" t="s">
        <v>14</v>
      </c>
      <c r="L13">
        <v>0</v>
      </c>
      <c r="M13" s="1" t="s">
        <v>14</v>
      </c>
      <c r="N13">
        <v>0</v>
      </c>
      <c r="O13" s="1" t="s">
        <v>14</v>
      </c>
      <c r="P13">
        <v>923.68500000000006</v>
      </c>
      <c r="Q13" s="1" t="s">
        <v>14</v>
      </c>
      <c r="R13">
        <v>126.31499999999994</v>
      </c>
      <c r="S13" s="1" t="s">
        <v>14</v>
      </c>
      <c r="T13">
        <v>50.525999999999954</v>
      </c>
      <c r="U13" s="1" t="s">
        <v>14</v>
      </c>
      <c r="V13">
        <v>13.675116516994423</v>
      </c>
      <c r="W13" s="1" t="s">
        <v>14</v>
      </c>
      <c r="X13">
        <v>3694.7400000000002</v>
      </c>
      <c r="Y13" s="1" t="s">
        <v>12</v>
      </c>
      <c r="Z13" s="1" t="str">
        <f t="shared" si="0"/>
        <v>&lt;tr&gt; &lt;td&gt;2557195&lt;/td&gt;&lt;td&gt;HYUNDAI S.GEAR OIL 75W-85-4X2.5L-HDPE&lt;/td&gt;&lt;td&gt;1050&lt;/td&gt;&lt;td&gt;923.685&lt;/td&gt;&lt;td&gt;0&lt;/td&gt;&lt;td&gt;0&lt;/td&gt;&lt;td&gt;0&lt;/td&gt;&lt;td&gt;923.685&lt;/td&gt;&lt;td&gt;126.315&lt;/td&gt;&lt;td&gt;50.526&lt;/td&gt;&lt;td&gt;13.6751165169944&lt;/td&gt;&lt;td&gt;3694.74&lt;/td&gt;&lt;/tr&gt;</v>
      </c>
    </row>
    <row r="14" spans="1:26" x14ac:dyDescent="0.3">
      <c r="A14" s="1" t="s">
        <v>13</v>
      </c>
      <c r="B14">
        <v>2918175</v>
      </c>
      <c r="C14" s="1" t="s">
        <v>14</v>
      </c>
      <c r="D14" t="s">
        <v>111</v>
      </c>
      <c r="E14" s="1" t="s">
        <v>14</v>
      </c>
      <c r="F14">
        <v>161</v>
      </c>
      <c r="G14" s="1" t="s">
        <v>14</v>
      </c>
      <c r="H14">
        <v>138.7337</v>
      </c>
      <c r="I14" s="1" t="s">
        <v>14</v>
      </c>
      <c r="J14">
        <v>0</v>
      </c>
      <c r="K14" s="1" t="s">
        <v>14</v>
      </c>
      <c r="L14">
        <v>0</v>
      </c>
      <c r="M14" s="1" t="s">
        <v>14</v>
      </c>
      <c r="N14">
        <v>0</v>
      </c>
      <c r="O14" s="1" t="s">
        <v>14</v>
      </c>
      <c r="P14">
        <v>138.7337</v>
      </c>
      <c r="Q14" s="1" t="s">
        <v>14</v>
      </c>
      <c r="R14">
        <v>22.266300000000001</v>
      </c>
      <c r="S14" s="1" t="s">
        <v>14</v>
      </c>
      <c r="T14">
        <v>44.532600000000002</v>
      </c>
      <c r="U14" s="1" t="s">
        <v>14</v>
      </c>
      <c r="V14">
        <v>16.049669258442613</v>
      </c>
      <c r="W14" s="1" t="s">
        <v>14</v>
      </c>
      <c r="X14">
        <v>2774.6740000000013</v>
      </c>
      <c r="Y14" s="1" t="s">
        <v>12</v>
      </c>
      <c r="Z14" s="1" t="str">
        <f t="shared" si="0"/>
        <v>&lt;tr&gt; &lt;td&gt;2918175&lt;/td&gt;&lt;td&gt;HYUNDAI SERVO BRAKE OIL - 20x1/2L - HDPE&lt;/td&gt;&lt;td&gt;161&lt;/td&gt;&lt;td&gt;138.7337&lt;/td&gt;&lt;td&gt;0&lt;/td&gt;&lt;td&gt;0&lt;/td&gt;&lt;td&gt;0&lt;/td&gt;&lt;td&gt;138.7337&lt;/td&gt;&lt;td&gt;22.2663&lt;/td&gt;&lt;td&gt;44.5326&lt;/td&gt;&lt;td&gt;16.0496692584426&lt;/td&gt;&lt;td&gt;2774.674&lt;/td&gt;&lt;/tr&gt;</v>
      </c>
    </row>
    <row r="15" spans="1:26" x14ac:dyDescent="0.3">
      <c r="A15" s="1" t="s">
        <v>13</v>
      </c>
      <c r="B15">
        <v>7209213</v>
      </c>
      <c r="C15" s="1" t="s">
        <v>14</v>
      </c>
      <c r="D15" t="s">
        <v>112</v>
      </c>
      <c r="E15" s="1" t="s">
        <v>14</v>
      </c>
      <c r="F15">
        <v>3885</v>
      </c>
      <c r="G15" s="1" t="s">
        <v>14</v>
      </c>
      <c r="H15">
        <v>3130.9215000000004</v>
      </c>
      <c r="I15" s="1" t="s">
        <v>14</v>
      </c>
      <c r="J15">
        <v>0</v>
      </c>
      <c r="K15" s="1" t="s">
        <v>14</v>
      </c>
      <c r="L15">
        <v>0</v>
      </c>
      <c r="M15" s="1" t="s">
        <v>14</v>
      </c>
      <c r="N15">
        <v>0</v>
      </c>
      <c r="O15" s="1" t="s">
        <v>14</v>
      </c>
      <c r="P15">
        <v>3130.9215000000004</v>
      </c>
      <c r="Q15" s="1" t="s">
        <v>14</v>
      </c>
      <c r="R15">
        <v>754.07849999999962</v>
      </c>
      <c r="S15" s="1" t="s">
        <v>14</v>
      </c>
      <c r="T15">
        <v>215.45099999999991</v>
      </c>
      <c r="U15" s="1" t="s">
        <v>14</v>
      </c>
      <c r="V15">
        <v>24.084874053852818</v>
      </c>
      <c r="W15" s="1" t="s">
        <v>14</v>
      </c>
      <c r="X15">
        <v>12523.686000000005</v>
      </c>
      <c r="Y15" s="1" t="s">
        <v>12</v>
      </c>
      <c r="Z15" s="1" t="str">
        <f t="shared" si="0"/>
        <v>&lt;tr&gt; &lt;td&gt;7209213&lt;/td&gt;&lt;td&gt;HY SERVO SYNTH 0W-30 SP/C3-4 X 3.5 L&lt;/td&gt;&lt;td&gt;3885&lt;/td&gt;&lt;td&gt;3130.9215&lt;/td&gt;&lt;td&gt;0&lt;/td&gt;&lt;td&gt;0&lt;/td&gt;&lt;td&gt;0&lt;/td&gt;&lt;td&gt;3130.9215&lt;/td&gt;&lt;td&gt;754.0785&lt;/td&gt;&lt;td&gt;215.451&lt;/td&gt;&lt;td&gt;24.0848740538528&lt;/td&gt;&lt;td&gt;12523.686&lt;/td&gt;&lt;/tr&gt;</v>
      </c>
    </row>
    <row r="16" spans="1:26" x14ac:dyDescent="0.3">
      <c r="A16" s="1" t="s">
        <v>13</v>
      </c>
      <c r="B16">
        <v>2953213</v>
      </c>
      <c r="C16" s="1" t="s">
        <v>14</v>
      </c>
      <c r="D16" t="s">
        <v>113</v>
      </c>
      <c r="E16" s="1" t="s">
        <v>14</v>
      </c>
      <c r="F16">
        <v>3255</v>
      </c>
      <c r="G16" s="1" t="s">
        <v>14</v>
      </c>
      <c r="H16">
        <v>2554.8494999999998</v>
      </c>
      <c r="I16" s="1" t="s">
        <v>14</v>
      </c>
      <c r="J16">
        <v>0</v>
      </c>
      <c r="K16" s="1" t="s">
        <v>14</v>
      </c>
      <c r="L16">
        <v>0</v>
      </c>
      <c r="M16" s="1" t="s">
        <v>14</v>
      </c>
      <c r="N16">
        <v>0</v>
      </c>
      <c r="O16" s="1" t="s">
        <v>14</v>
      </c>
      <c r="P16">
        <v>2554.8494999999998</v>
      </c>
      <c r="Q16" s="1" t="s">
        <v>14</v>
      </c>
      <c r="R16">
        <v>700.15050000000019</v>
      </c>
      <c r="S16" s="1" t="s">
        <v>14</v>
      </c>
      <c r="T16">
        <v>200.04300000000001</v>
      </c>
      <c r="U16" s="1" t="s">
        <v>14</v>
      </c>
      <c r="V16">
        <v>27.404764938208697</v>
      </c>
      <c r="W16" s="1" t="s">
        <v>14</v>
      </c>
      <c r="X16">
        <v>10219.398000000001</v>
      </c>
      <c r="Y16" s="1" t="s">
        <v>12</v>
      </c>
      <c r="Z16" s="1" t="str">
        <f t="shared" si="0"/>
        <v>&lt;tr&gt; &lt;td&gt;2953213&lt;/td&gt;&lt;td&gt;HY.SERVO SYNTH PLUS 5W-30-4x3.5L HDPE&lt;/td&gt;&lt;td&gt;3255&lt;/td&gt;&lt;td&gt;2554.8495&lt;/td&gt;&lt;td&gt;0&lt;/td&gt;&lt;td&gt;0&lt;/td&gt;&lt;td&gt;0&lt;/td&gt;&lt;td&gt;2554.8495&lt;/td&gt;&lt;td&gt;700.1505&lt;/td&gt;&lt;td&gt;200.043&lt;/td&gt;&lt;td&gt;27.4047649382087&lt;/td&gt;&lt;td&gt;10219.398&lt;/td&gt;&lt;/tr&gt;</v>
      </c>
    </row>
    <row r="17" spans="1:26" x14ac:dyDescent="0.3">
      <c r="A17" s="1" t="s">
        <v>13</v>
      </c>
      <c r="B17">
        <v>2968213</v>
      </c>
      <c r="C17" s="1" t="s">
        <v>14</v>
      </c>
      <c r="D17" t="s">
        <v>114</v>
      </c>
      <c r="E17" s="1" t="s">
        <v>14</v>
      </c>
      <c r="F17">
        <v>1502</v>
      </c>
      <c r="G17" s="1" t="s">
        <v>14</v>
      </c>
      <c r="H17">
        <v>1171.7102</v>
      </c>
      <c r="I17" s="1" t="s">
        <v>14</v>
      </c>
      <c r="J17">
        <v>16</v>
      </c>
      <c r="K17" s="1" t="s">
        <v>14</v>
      </c>
      <c r="L17">
        <v>0</v>
      </c>
      <c r="M17" s="1" t="s">
        <v>14</v>
      </c>
      <c r="N17">
        <v>0</v>
      </c>
      <c r="O17" s="1" t="s">
        <v>14</v>
      </c>
      <c r="P17">
        <v>1105.6302000000001</v>
      </c>
      <c r="Q17" s="1" t="s">
        <v>14</v>
      </c>
      <c r="R17">
        <v>396.36979999999994</v>
      </c>
      <c r="S17" s="1" t="s">
        <v>14</v>
      </c>
      <c r="T17">
        <v>113.24851428571429</v>
      </c>
      <c r="U17" s="1" t="s">
        <v>14</v>
      </c>
      <c r="V17">
        <v>35.850124209704106</v>
      </c>
      <c r="W17" s="1" t="s">
        <v>14</v>
      </c>
      <c r="X17">
        <v>4422.5208000000011</v>
      </c>
      <c r="Y17" s="1" t="s">
        <v>12</v>
      </c>
      <c r="Z17" s="1" t="str">
        <f t="shared" si="0"/>
        <v>&lt;tr&gt; &lt;td&gt;2968213&lt;/td&gt;&lt;td&gt;HY.SERVO ENGINE OIL 5W-30-4x3.5L&lt;/td&gt;&lt;td&gt;1502&lt;/td&gt;&lt;td&gt;1171.7102&lt;/td&gt;&lt;td&gt;16&lt;/td&gt;&lt;td&gt;0&lt;/td&gt;&lt;td&gt;0&lt;/td&gt;&lt;td&gt;1105.6302&lt;/td&gt;&lt;td&gt;396.3698&lt;/td&gt;&lt;td&gt;113.248514285714&lt;/td&gt;&lt;td&gt;35.8501242097041&lt;/td&gt;&lt;td&gt;4422.5208&lt;/td&gt;&lt;/tr&gt;</v>
      </c>
    </row>
    <row r="18" spans="1:26" x14ac:dyDescent="0.3">
      <c r="A18" s="1" t="s">
        <v>13</v>
      </c>
      <c r="B18">
        <v>4943184</v>
      </c>
      <c r="C18" s="1" t="s">
        <v>14</v>
      </c>
      <c r="D18" t="s">
        <v>115</v>
      </c>
      <c r="E18" s="1" t="s">
        <v>14</v>
      </c>
      <c r="F18">
        <v>350</v>
      </c>
      <c r="G18" s="1" t="s">
        <v>14</v>
      </c>
      <c r="H18">
        <v>296.66000000000003</v>
      </c>
      <c r="I18" s="1" t="s">
        <v>14</v>
      </c>
      <c r="J18">
        <v>0</v>
      </c>
      <c r="K18" s="1" t="s">
        <v>14</v>
      </c>
      <c r="L18">
        <v>0</v>
      </c>
      <c r="M18" s="1" t="s">
        <v>14</v>
      </c>
      <c r="N18">
        <v>0</v>
      </c>
      <c r="O18" s="1" t="s">
        <v>14</v>
      </c>
      <c r="P18">
        <v>296.66000000000003</v>
      </c>
      <c r="Q18" s="1" t="s">
        <v>14</v>
      </c>
      <c r="R18">
        <v>53.339999999999975</v>
      </c>
      <c r="S18" s="1" t="s">
        <v>14</v>
      </c>
      <c r="T18">
        <v>53.339999999999975</v>
      </c>
      <c r="U18" s="1" t="s">
        <v>14</v>
      </c>
      <c r="V18">
        <v>17.980179329872573</v>
      </c>
      <c r="W18" s="1" t="s">
        <v>14</v>
      </c>
      <c r="X18">
        <v>5933.2000000000044</v>
      </c>
      <c r="Y18" s="1" t="s">
        <v>12</v>
      </c>
      <c r="Z18" s="1" t="str">
        <f t="shared" si="0"/>
        <v>&lt;tr&gt; &lt;td&gt;4943184&lt;/td&gt;&lt;td&gt;HYUNDAI SERVO STEERING OIL-20x1L-HDPE-NE&lt;/td&gt;&lt;td&gt;350&lt;/td&gt;&lt;td&gt;296.66&lt;/td&gt;&lt;td&gt;0&lt;/td&gt;&lt;td&gt;0&lt;/td&gt;&lt;td&gt;0&lt;/td&gt;&lt;td&gt;296.66&lt;/td&gt;&lt;td&gt;53.34&lt;/td&gt;&lt;td&gt;53.34&lt;/td&gt;&lt;td&gt;17.9801793298726&lt;/td&gt;&lt;td&gt;5933.2&lt;/td&gt;&lt;/tr&gt;</v>
      </c>
    </row>
    <row r="19" spans="1:26" x14ac:dyDescent="0.3">
      <c r="A19" s="1" t="s">
        <v>13</v>
      </c>
      <c r="B19">
        <v>7205222</v>
      </c>
      <c r="C19" s="1" t="s">
        <v>14</v>
      </c>
      <c r="D19" t="s">
        <v>116</v>
      </c>
      <c r="E19" s="1" t="s">
        <v>14</v>
      </c>
      <c r="F19">
        <v>1960</v>
      </c>
      <c r="G19" s="1" t="s">
        <v>14</v>
      </c>
      <c r="H19">
        <v>1616.02</v>
      </c>
      <c r="I19" s="1" t="s">
        <v>14</v>
      </c>
      <c r="J19">
        <v>0</v>
      </c>
      <c r="K19" s="1" t="s">
        <v>14</v>
      </c>
      <c r="L19">
        <v>0</v>
      </c>
      <c r="M19" s="1" t="s">
        <v>14</v>
      </c>
      <c r="N19">
        <v>0</v>
      </c>
      <c r="O19" s="1" t="s">
        <v>14</v>
      </c>
      <c r="P19">
        <v>1616.02</v>
      </c>
      <c r="Q19" s="1" t="s">
        <v>14</v>
      </c>
      <c r="R19">
        <v>343.98</v>
      </c>
      <c r="S19" s="1" t="s">
        <v>14</v>
      </c>
      <c r="T19">
        <v>85.995000000000005</v>
      </c>
      <c r="U19" s="1" t="s">
        <v>14</v>
      </c>
      <c r="V19">
        <v>21.285627653123107</v>
      </c>
      <c r="W19" s="1" t="s">
        <v>14</v>
      </c>
      <c r="X19">
        <v>6464.0800000000045</v>
      </c>
      <c r="Y19" s="1" t="s">
        <v>12</v>
      </c>
      <c r="Z19" s="1" t="str">
        <f t="shared" si="0"/>
        <v>&lt;tr&gt; &lt;td&gt;7205222&lt;/td&gt;&lt;td&gt;HYUNDAI SERVO SUPERIOR 0W30-4 X 4 L&lt;/td&gt;&lt;td&gt;1960&lt;/td&gt;&lt;td&gt;1616.02&lt;/td&gt;&lt;td&gt;0&lt;/td&gt;&lt;td&gt;0&lt;/td&gt;&lt;td&gt;0&lt;/td&gt;&lt;td&gt;1616.02&lt;/td&gt;&lt;td&gt;343.98&lt;/td&gt;&lt;td&gt;85.995&lt;/td&gt;&lt;td&gt;21.2856276531231&lt;/td&gt;&lt;td&gt;6464.08&lt;/td&gt;&lt;/tr&gt;</v>
      </c>
    </row>
    <row r="20" spans="1:26" x14ac:dyDescent="0.3">
      <c r="A20" s="1" t="s">
        <v>13</v>
      </c>
      <c r="B20">
        <v>7420213</v>
      </c>
      <c r="C20" s="1" t="s">
        <v>14</v>
      </c>
      <c r="D20" t="s">
        <v>117</v>
      </c>
      <c r="E20" s="1" t="s">
        <v>14</v>
      </c>
      <c r="F20">
        <v>1575</v>
      </c>
      <c r="G20" s="1" t="s">
        <v>14</v>
      </c>
      <c r="H20">
        <v>1284.4124999999999</v>
      </c>
      <c r="I20" s="1" t="s">
        <v>14</v>
      </c>
      <c r="J20">
        <v>20</v>
      </c>
      <c r="K20" s="1" t="s">
        <v>14</v>
      </c>
      <c r="L20">
        <v>0</v>
      </c>
      <c r="M20" s="1" t="s">
        <v>14</v>
      </c>
      <c r="N20">
        <v>0</v>
      </c>
      <c r="O20" s="1" t="s">
        <v>14</v>
      </c>
      <c r="P20">
        <v>1201.8124999999998</v>
      </c>
      <c r="Q20" s="1" t="s">
        <v>14</v>
      </c>
      <c r="R20">
        <v>373.18750000000023</v>
      </c>
      <c r="S20" s="1" t="s">
        <v>14</v>
      </c>
      <c r="T20">
        <v>106.62500000000006</v>
      </c>
      <c r="U20" s="1" t="s">
        <v>14</v>
      </c>
      <c r="V20">
        <v>31.052056789224636</v>
      </c>
      <c r="W20" s="1" t="s">
        <v>14</v>
      </c>
      <c r="X20">
        <v>4807.25</v>
      </c>
      <c r="Y20" s="1" t="s">
        <v>12</v>
      </c>
      <c r="Z20" s="1" t="str">
        <f t="shared" si="0"/>
        <v>&lt;tr&gt; &lt;td&gt;7420213&lt;/td&gt;&lt;td&gt;HY SERVO PETROL EO SN PLUS-4 X 3.5 L&lt;/td&gt;&lt;td&gt;1575&lt;/td&gt;&lt;td&gt;1284.4125&lt;/td&gt;&lt;td&gt;20&lt;/td&gt;&lt;td&gt;0&lt;/td&gt;&lt;td&gt;0&lt;/td&gt;&lt;td&gt;1201.8125&lt;/td&gt;&lt;td&gt;373.1875&lt;/td&gt;&lt;td&gt;106.625&lt;/td&gt;&lt;td&gt;31.0520567892246&lt;/td&gt;&lt;td&gt;4807.25&lt;/td&gt;&lt;/tr&gt;</v>
      </c>
    </row>
    <row r="21" spans="1:26" x14ac:dyDescent="0.3">
      <c r="A21" s="1" t="s">
        <v>13</v>
      </c>
      <c r="B21">
        <v>7420222</v>
      </c>
      <c r="C21" s="1" t="s">
        <v>14</v>
      </c>
      <c r="D21" t="s">
        <v>118</v>
      </c>
      <c r="E21" s="1" t="s">
        <v>14</v>
      </c>
      <c r="F21">
        <v>1800</v>
      </c>
      <c r="G21" s="1" t="s">
        <v>14</v>
      </c>
      <c r="H21">
        <v>1468.08</v>
      </c>
      <c r="I21" s="1" t="s">
        <v>14</v>
      </c>
      <c r="J21">
        <v>20</v>
      </c>
      <c r="K21" s="1" t="s">
        <v>14</v>
      </c>
      <c r="L21">
        <v>0</v>
      </c>
      <c r="M21" s="1" t="s">
        <v>14</v>
      </c>
      <c r="N21">
        <v>0</v>
      </c>
      <c r="O21" s="1" t="s">
        <v>14</v>
      </c>
      <c r="P21">
        <v>1373.6799999999998</v>
      </c>
      <c r="Q21" s="1" t="s">
        <v>14</v>
      </c>
      <c r="R21">
        <v>426.32000000000016</v>
      </c>
      <c r="S21" s="1" t="s">
        <v>14</v>
      </c>
      <c r="T21">
        <v>106.58000000000004</v>
      </c>
      <c r="U21" s="1" t="s">
        <v>14</v>
      </c>
      <c r="V21">
        <v>31.03488439811311</v>
      </c>
      <c r="W21" s="1" t="s">
        <v>14</v>
      </c>
      <c r="X21">
        <v>5494.720000000003</v>
      </c>
      <c r="Y21" s="1" t="s">
        <v>12</v>
      </c>
      <c r="Z21" s="1" t="str">
        <f t="shared" si="0"/>
        <v>&lt;tr&gt; &lt;td&gt;7420222&lt;/td&gt;&lt;td&gt;HY SERVO PETROL EO SN PLUS-4 X 4 L&lt;/td&gt;&lt;td&gt;1800&lt;/td&gt;&lt;td&gt;1468.08&lt;/td&gt;&lt;td&gt;20&lt;/td&gt;&lt;td&gt;0&lt;/td&gt;&lt;td&gt;0&lt;/td&gt;&lt;td&gt;1373.68&lt;/td&gt;&lt;td&gt;426.32&lt;/td&gt;&lt;td&gt;106.58&lt;/td&gt;&lt;td&gt;31.0348843981131&lt;/td&gt;&lt;td&gt;5494.72&lt;/td&gt;&lt;/tr&gt;</v>
      </c>
    </row>
    <row r="22" spans="1:26" x14ac:dyDescent="0.3">
      <c r="A22" s="1" t="s">
        <v>13</v>
      </c>
      <c r="B22">
        <v>7421234</v>
      </c>
      <c r="C22" s="1" t="s">
        <v>14</v>
      </c>
      <c r="D22" t="s">
        <v>119</v>
      </c>
      <c r="E22" s="1" t="s">
        <v>14</v>
      </c>
      <c r="F22">
        <v>2400</v>
      </c>
      <c r="G22" s="1" t="s">
        <v>14</v>
      </c>
      <c r="H22">
        <v>1974.9600000000003</v>
      </c>
      <c r="I22" s="1" t="s">
        <v>14</v>
      </c>
      <c r="J22">
        <v>20</v>
      </c>
      <c r="K22" s="1" t="s">
        <v>14</v>
      </c>
      <c r="L22">
        <v>0</v>
      </c>
      <c r="M22" s="1" t="s">
        <v>14</v>
      </c>
      <c r="N22">
        <v>0</v>
      </c>
      <c r="O22" s="1" t="s">
        <v>14</v>
      </c>
      <c r="P22">
        <v>1856.9600000000003</v>
      </c>
      <c r="Q22" s="1" t="s">
        <v>14</v>
      </c>
      <c r="R22">
        <v>543.03999999999974</v>
      </c>
      <c r="S22" s="1" t="s">
        <v>14</v>
      </c>
      <c r="T22">
        <v>108.60799999999995</v>
      </c>
      <c r="U22" s="1" t="s">
        <v>14</v>
      </c>
      <c r="V22">
        <v>29.243494744097866</v>
      </c>
      <c r="W22" s="1" t="s">
        <v>14</v>
      </c>
      <c r="X22">
        <v>7427.8400000000056</v>
      </c>
      <c r="Y22" s="1" t="s">
        <v>12</v>
      </c>
      <c r="Z22" s="1" t="str">
        <f t="shared" si="0"/>
        <v>&lt;tr&gt; &lt;td&gt;7421234&lt;/td&gt;&lt;td&gt;HYUNDAI SERVO DEO ACEA C5-4 X 5 L&lt;/td&gt;&lt;td&gt;2400&lt;/td&gt;&lt;td&gt;1974.96&lt;/td&gt;&lt;td&gt;20&lt;/td&gt;&lt;td&gt;0&lt;/td&gt;&lt;td&gt;0&lt;/td&gt;&lt;td&gt;1856.96&lt;/td&gt;&lt;td&gt;543.04&lt;/td&gt;&lt;td&gt;108.608&lt;/td&gt;&lt;td&gt;29.2434947440979&lt;/td&gt;&lt;td&gt;7427.84000000001&lt;/td&gt;&lt;/tr&gt;</v>
      </c>
    </row>
    <row r="23" spans="1:26" x14ac:dyDescent="0.3">
      <c r="A23" s="1" t="s">
        <v>13</v>
      </c>
      <c r="B23">
        <v>7477203</v>
      </c>
      <c r="C23" s="1" t="s">
        <v>14</v>
      </c>
      <c r="D23" t="s">
        <v>120</v>
      </c>
      <c r="E23" s="1" t="s">
        <v>14</v>
      </c>
      <c r="F23">
        <v>1260</v>
      </c>
      <c r="G23" s="1" t="s">
        <v>14</v>
      </c>
      <c r="H23">
        <v>1037.106</v>
      </c>
      <c r="I23" s="1" t="s">
        <v>14</v>
      </c>
      <c r="J23">
        <v>16</v>
      </c>
      <c r="K23" s="1" t="s">
        <v>14</v>
      </c>
      <c r="L23">
        <v>0</v>
      </c>
      <c r="M23" s="1" t="s">
        <v>14</v>
      </c>
      <c r="N23">
        <v>0</v>
      </c>
      <c r="O23" s="1" t="s">
        <v>14</v>
      </c>
      <c r="P23">
        <v>980.46600000000001</v>
      </c>
      <c r="Q23" s="1" t="s">
        <v>14</v>
      </c>
      <c r="R23">
        <v>279.53399999999999</v>
      </c>
      <c r="S23" s="1" t="s">
        <v>14</v>
      </c>
      <c r="T23">
        <v>93.177999999999997</v>
      </c>
      <c r="U23" s="1" t="s">
        <v>14</v>
      </c>
      <c r="V23">
        <v>28.510320602652207</v>
      </c>
      <c r="W23" s="1" t="s">
        <v>14</v>
      </c>
      <c r="X23">
        <v>3921.8640000000019</v>
      </c>
      <c r="Y23" s="1" t="s">
        <v>12</v>
      </c>
      <c r="Z23" s="1" t="str">
        <f t="shared" si="0"/>
        <v>&lt;tr&gt; &lt;td&gt;7477203&lt;/td&gt;&lt;td&gt;HY.SERVO PRM.EO SM 5W-30-4X3 L&lt;/td&gt;&lt;td&gt;1260&lt;/td&gt;&lt;td&gt;1037.106&lt;/td&gt;&lt;td&gt;16&lt;/td&gt;&lt;td&gt;0&lt;/td&gt;&lt;td&gt;0&lt;/td&gt;&lt;td&gt;980.466&lt;/td&gt;&lt;td&gt;279.534&lt;/td&gt;&lt;td&gt;93.178&lt;/td&gt;&lt;td&gt;28.5103206026522&lt;/td&gt;&lt;td&gt;3921.864&lt;/td&gt;&lt;/tr&gt;</v>
      </c>
    </row>
    <row r="24" spans="1:26" x14ac:dyDescent="0.3">
      <c r="A24" s="1" t="s">
        <v>13</v>
      </c>
      <c r="B24">
        <v>7232184</v>
      </c>
      <c r="C24" s="1" t="s">
        <v>14</v>
      </c>
      <c r="D24" t="s">
        <v>121</v>
      </c>
      <c r="E24" s="1" t="s">
        <v>14</v>
      </c>
      <c r="F24">
        <v>301</v>
      </c>
      <c r="G24" s="1" t="s">
        <v>14</v>
      </c>
      <c r="H24">
        <v>256.99379999999996</v>
      </c>
      <c r="I24" s="1" t="s">
        <v>14</v>
      </c>
      <c r="J24">
        <v>0</v>
      </c>
      <c r="K24" s="1" t="s">
        <v>14</v>
      </c>
      <c r="L24">
        <v>0</v>
      </c>
      <c r="M24" s="1" t="s">
        <v>14</v>
      </c>
      <c r="N24">
        <v>0</v>
      </c>
      <c r="O24" s="1" t="s">
        <v>14</v>
      </c>
      <c r="P24">
        <v>256.99379999999996</v>
      </c>
      <c r="Q24" s="1" t="s">
        <v>14</v>
      </c>
      <c r="R24">
        <v>44.006200000000035</v>
      </c>
      <c r="S24" s="1" t="s">
        <v>14</v>
      </c>
      <c r="T24">
        <v>44.006200000000035</v>
      </c>
      <c r="U24" s="1" t="s">
        <v>14</v>
      </c>
      <c r="V24">
        <v>17.123448114312502</v>
      </c>
      <c r="W24" s="1" t="s">
        <v>14</v>
      </c>
      <c r="X24">
        <v>5139.8760000000029</v>
      </c>
      <c r="Y24" s="1" t="s">
        <v>12</v>
      </c>
      <c r="Z24" s="1" t="str">
        <f t="shared" si="0"/>
        <v>&lt;tr&gt; &lt;td&gt;7232184&lt;/td&gt;&lt;td&gt;HYUNDAI SERVO COOLANT 50-20 X 1 L&lt;/td&gt;&lt;td&gt;301&lt;/td&gt;&lt;td&gt;256.9938&lt;/td&gt;&lt;td&gt;0&lt;/td&gt;&lt;td&gt;0&lt;/td&gt;&lt;td&gt;0&lt;/td&gt;&lt;td&gt;256.9938&lt;/td&gt;&lt;td&gt;44.0062&lt;/td&gt;&lt;td&gt;44.0062&lt;/td&gt;&lt;td&gt;17.1234481143125&lt;/td&gt;&lt;td&gt;5139.876&lt;/td&gt;&lt;/tr&gt;</v>
      </c>
    </row>
    <row r="25" spans="1:26" x14ac:dyDescent="0.3">
      <c r="A25" s="1" t="s">
        <v>13</v>
      </c>
      <c r="B25">
        <v>7481184</v>
      </c>
      <c r="C25" s="1" t="s">
        <v>14</v>
      </c>
      <c r="D25" t="s">
        <v>122</v>
      </c>
      <c r="E25" s="1" t="s">
        <v>14</v>
      </c>
      <c r="F25">
        <v>365</v>
      </c>
      <c r="G25" s="1" t="s">
        <v>14</v>
      </c>
      <c r="H25">
        <v>302.62149999999997</v>
      </c>
      <c r="I25" s="1" t="s">
        <v>14</v>
      </c>
      <c r="J25">
        <v>0</v>
      </c>
      <c r="K25" s="1" t="s">
        <v>14</v>
      </c>
      <c r="L25">
        <v>0</v>
      </c>
      <c r="M25" s="1" t="s">
        <v>14</v>
      </c>
      <c r="N25">
        <v>0</v>
      </c>
      <c r="O25" s="1" t="s">
        <v>14</v>
      </c>
      <c r="P25">
        <v>302.62149999999997</v>
      </c>
      <c r="Q25" s="1" t="s">
        <v>14</v>
      </c>
      <c r="R25">
        <v>62.378500000000031</v>
      </c>
      <c r="S25" s="1" t="s">
        <v>14</v>
      </c>
      <c r="T25">
        <v>62.378500000000031</v>
      </c>
      <c r="U25" s="1" t="s">
        <v>14</v>
      </c>
      <c r="V25">
        <v>20.612712579905935</v>
      </c>
      <c r="W25" s="1" t="s">
        <v>14</v>
      </c>
      <c r="X25">
        <v>6052.4300000000039</v>
      </c>
      <c r="Y25" s="1" t="s">
        <v>12</v>
      </c>
      <c r="Z25" s="1" t="str">
        <f t="shared" si="0"/>
        <v>&lt;tr&gt; &lt;td&gt;7481184&lt;/td&gt;&lt;td&gt;HYUNDAI SERVO COOLANT LL-20 X 1 L&lt;/td&gt;&lt;td&gt;365&lt;/td&gt;&lt;td&gt;302.6215&lt;/td&gt;&lt;td&gt;0&lt;/td&gt;&lt;td&gt;0&lt;/td&gt;&lt;td&gt;0&lt;/td&gt;&lt;td&gt;302.6215&lt;/td&gt;&lt;td&gt;62.3785&lt;/td&gt;&lt;td&gt;62.3785&lt;/td&gt;&lt;td&gt;20.6127125799059&lt;/td&gt;&lt;td&gt;6052.43&lt;/td&gt;&lt;/tr&gt;</v>
      </c>
    </row>
    <row r="26" spans="1:26" x14ac:dyDescent="0.3">
      <c r="A26" s="1" t="s">
        <v>13</v>
      </c>
      <c r="B26">
        <v>7638234</v>
      </c>
      <c r="C26" s="1" t="s">
        <v>14</v>
      </c>
      <c r="D26" t="s">
        <v>123</v>
      </c>
      <c r="E26" s="1" t="s">
        <v>14</v>
      </c>
      <c r="F26">
        <v>2100</v>
      </c>
      <c r="G26" s="1" t="s">
        <v>14</v>
      </c>
      <c r="H26">
        <v>1729.14</v>
      </c>
      <c r="I26" s="1" t="s">
        <v>14</v>
      </c>
      <c r="J26">
        <v>11</v>
      </c>
      <c r="K26" s="1" t="s">
        <v>14</v>
      </c>
      <c r="L26">
        <v>0</v>
      </c>
      <c r="M26" s="1" t="s">
        <v>14</v>
      </c>
      <c r="N26">
        <v>0</v>
      </c>
      <c r="O26" s="1" t="s">
        <v>14</v>
      </c>
      <c r="P26">
        <v>1664.24</v>
      </c>
      <c r="Q26" s="1" t="s">
        <v>14</v>
      </c>
      <c r="R26">
        <v>435.76</v>
      </c>
      <c r="S26" s="1" t="s">
        <v>14</v>
      </c>
      <c r="T26">
        <v>87.151999999999987</v>
      </c>
      <c r="U26" s="1" t="s">
        <v>14</v>
      </c>
      <c r="V26">
        <v>26.183723501418065</v>
      </c>
      <c r="W26" s="1" t="s">
        <v>14</v>
      </c>
      <c r="X26">
        <v>6656.9600000000046</v>
      </c>
      <c r="Y26" s="1" t="s">
        <v>12</v>
      </c>
      <c r="Z26" s="1" t="str">
        <f t="shared" si="0"/>
        <v>&lt;tr&gt; &lt;td&gt;7638234&lt;/td&gt;&lt;td&gt;HYUNDAI SERVO CRDi PREM.ENG.OIL 4X5L-HDP&lt;/td&gt;&lt;td&gt;2100&lt;/td&gt;&lt;td&gt;1729.14&lt;/td&gt;&lt;td&gt;11&lt;/td&gt;&lt;td&gt;0&lt;/td&gt;&lt;td&gt;0&lt;/td&gt;&lt;td&gt;1664.24&lt;/td&gt;&lt;td&gt;435.76&lt;/td&gt;&lt;td&gt;87.152&lt;/td&gt;&lt;td&gt;26.1837235014181&lt;/td&gt;&lt;td&gt;6656.96&lt;/td&gt;&lt;/tr&gt;</v>
      </c>
    </row>
    <row r="27" spans="1:26" x14ac:dyDescent="0.3">
      <c r="A27" s="1" t="s">
        <v>13</v>
      </c>
      <c r="B27">
        <v>2972184</v>
      </c>
      <c r="C27" s="1" t="s">
        <v>14</v>
      </c>
      <c r="D27" t="s">
        <v>124</v>
      </c>
      <c r="E27" s="1" t="s">
        <v>14</v>
      </c>
      <c r="F27">
        <v>600</v>
      </c>
      <c r="G27" s="1" t="s">
        <v>14</v>
      </c>
      <c r="H27">
        <v>570</v>
      </c>
      <c r="I27" s="1" t="s">
        <v>14</v>
      </c>
      <c r="J27">
        <v>0</v>
      </c>
      <c r="K27" s="1" t="s">
        <v>14</v>
      </c>
      <c r="L27">
        <v>0</v>
      </c>
      <c r="M27" s="1" t="s">
        <v>14</v>
      </c>
      <c r="N27">
        <v>0</v>
      </c>
      <c r="O27" s="1" t="s">
        <v>14</v>
      </c>
      <c r="P27">
        <v>570</v>
      </c>
      <c r="Q27" s="1" t="s">
        <v>14</v>
      </c>
      <c r="R27">
        <v>30</v>
      </c>
      <c r="S27" s="1" t="s">
        <v>14</v>
      </c>
      <c r="T27">
        <v>30</v>
      </c>
      <c r="U27" s="1" t="s">
        <v>14</v>
      </c>
      <c r="V27">
        <v>5.2631578947368416</v>
      </c>
      <c r="W27" s="1" t="s">
        <v>14</v>
      </c>
      <c r="X27">
        <v>11400.000000000007</v>
      </c>
      <c r="Y27" s="1" t="s">
        <v>12</v>
      </c>
      <c r="Z27" s="1" t="str">
        <f t="shared" si="0"/>
        <v>&lt;tr&gt; &lt;td&gt;2972184&lt;/td&gt;&lt;td&gt;HYU SERVO BRAKE FLUID DOT 4 LV-20 X 1 L&lt;/td&gt;&lt;td&gt;600&lt;/td&gt;&lt;td&gt;570&lt;/td&gt;&lt;td&gt;0&lt;/td&gt;&lt;td&gt;0&lt;/td&gt;&lt;td&gt;0&lt;/td&gt;&lt;td&gt;570&lt;/td&gt;&lt;td&gt;30&lt;/td&gt;&lt;td&gt;30&lt;/td&gt;&lt;td&gt;5.26315789473684&lt;/td&gt;&lt;td&gt;11400&lt;/td&gt;&lt;/tr&gt;</v>
      </c>
    </row>
    <row r="28" spans="1:26" x14ac:dyDescent="0.3">
      <c r="A28" s="1" t="s">
        <v>13</v>
      </c>
      <c r="B28">
        <v>2586184</v>
      </c>
      <c r="C28" s="1" t="s">
        <v>14</v>
      </c>
      <c r="D28" t="s">
        <v>125</v>
      </c>
      <c r="E28" s="1" t="s">
        <v>14</v>
      </c>
      <c r="F28">
        <v>990</v>
      </c>
      <c r="G28" s="1" t="s">
        <v>14</v>
      </c>
      <c r="H28">
        <v>768.14100000000008</v>
      </c>
      <c r="I28" s="1" t="s">
        <v>14</v>
      </c>
      <c r="J28">
        <v>0</v>
      </c>
      <c r="K28" s="1" t="s">
        <v>14</v>
      </c>
      <c r="L28">
        <v>0</v>
      </c>
      <c r="M28" s="1" t="s">
        <v>14</v>
      </c>
      <c r="N28">
        <v>0</v>
      </c>
      <c r="O28" s="1" t="s">
        <v>14</v>
      </c>
      <c r="P28">
        <v>768.14100000000008</v>
      </c>
      <c r="Q28" s="1" t="s">
        <v>14</v>
      </c>
      <c r="R28">
        <v>221.85899999999992</v>
      </c>
      <c r="S28" s="1" t="s">
        <v>14</v>
      </c>
      <c r="T28">
        <v>221.85899999999992</v>
      </c>
      <c r="U28" s="1" t="s">
        <v>14</v>
      </c>
      <c r="V28">
        <v>28.882587962366273</v>
      </c>
      <c r="W28" s="1" t="s">
        <v>14</v>
      </c>
      <c r="X28">
        <v>15362.820000000012</v>
      </c>
      <c r="Y28" s="1" t="s">
        <v>12</v>
      </c>
      <c r="Z28" s="1" t="str">
        <f t="shared" si="0"/>
        <v>&lt;tr&gt; &lt;td&gt;2586184&lt;/td&gt;&lt;td&gt;SERVO MG R AXLE REDUCER FLUID-20 X 1 L&lt;/td&gt;&lt;td&gt;990&lt;/td&gt;&lt;td&gt;768.141&lt;/td&gt;&lt;td&gt;0&lt;/td&gt;&lt;td&gt;0&lt;/td&gt;&lt;td&gt;0&lt;/td&gt;&lt;td&gt;768.141&lt;/td&gt;&lt;td&gt;221.859&lt;/td&gt;&lt;td&gt;221.859&lt;/td&gt;&lt;td&gt;28.8825879623663&lt;/td&gt;&lt;td&gt;15362.82&lt;/td&gt;&lt;/tr&gt;</v>
      </c>
    </row>
    <row r="29" spans="1:26" x14ac:dyDescent="0.3">
      <c r="A29" s="1" t="s">
        <v>13</v>
      </c>
      <c r="B29">
        <v>7267234</v>
      </c>
      <c r="C29" s="1" t="s">
        <v>14</v>
      </c>
      <c r="D29" t="s">
        <v>126</v>
      </c>
      <c r="E29" s="1" t="s">
        <v>14</v>
      </c>
      <c r="F29">
        <v>5025</v>
      </c>
      <c r="G29" s="1" t="s">
        <v>14</v>
      </c>
      <c r="H29">
        <v>4130.0474999999997</v>
      </c>
      <c r="I29" s="1" t="s">
        <v>14</v>
      </c>
      <c r="J29">
        <v>20</v>
      </c>
      <c r="K29" s="1" t="s">
        <v>14</v>
      </c>
      <c r="L29">
        <v>0</v>
      </c>
      <c r="M29" s="1" t="s">
        <v>14</v>
      </c>
      <c r="N29">
        <v>0</v>
      </c>
      <c r="O29" s="1" t="s">
        <v>14</v>
      </c>
      <c r="P29">
        <v>4012.0474999999997</v>
      </c>
      <c r="Q29" s="1" t="s">
        <v>14</v>
      </c>
      <c r="R29">
        <v>1012.9525000000003</v>
      </c>
      <c r="S29" s="1" t="s">
        <v>14</v>
      </c>
      <c r="T29">
        <v>202.59050000000002</v>
      </c>
      <c r="U29" s="1" t="s">
        <v>14</v>
      </c>
      <c r="V29">
        <v>25.247769374614844</v>
      </c>
      <c r="W29" s="1" t="s">
        <v>14</v>
      </c>
      <c r="X29">
        <v>16048.19000000001</v>
      </c>
      <c r="Y29" s="1" t="s">
        <v>12</v>
      </c>
      <c r="Z29" s="1" t="str">
        <f t="shared" si="0"/>
        <v>&lt;tr&gt; &lt;td&gt;7267234&lt;/td&gt;&lt;td&gt;SERVO MG HECTOR DIESEL ENGINE OIL-4 X5 L&lt;/td&gt;&lt;td&gt;5025&lt;/td&gt;&lt;td&gt;4130.0475&lt;/td&gt;&lt;td&gt;20&lt;/td&gt;&lt;td&gt;0&lt;/td&gt;&lt;td&gt;0&lt;/td&gt;&lt;td&gt;4012.0475&lt;/td&gt;&lt;td&gt;1012.9525&lt;/td&gt;&lt;td&gt;202.5905&lt;/td&gt;&lt;td&gt;25.2477693746148&lt;/td&gt;&lt;td&gt;16048.19&lt;/td&gt;&lt;/tr&gt;</v>
      </c>
    </row>
    <row r="30" spans="1:26" x14ac:dyDescent="0.3">
      <c r="A30" s="1" t="s">
        <v>13</v>
      </c>
      <c r="B30">
        <v>7264222</v>
      </c>
      <c r="C30" s="1" t="s">
        <v>14</v>
      </c>
      <c r="D30" t="s">
        <v>127</v>
      </c>
      <c r="E30" s="1" t="s">
        <v>14</v>
      </c>
      <c r="F30">
        <v>1760</v>
      </c>
      <c r="G30" s="1" t="s">
        <v>14</v>
      </c>
      <c r="H30">
        <v>1485.9680000000001</v>
      </c>
      <c r="I30" s="1" t="s">
        <v>14</v>
      </c>
      <c r="J30">
        <v>14.83</v>
      </c>
      <c r="K30" s="1" t="s">
        <v>14</v>
      </c>
      <c r="L30">
        <v>0</v>
      </c>
      <c r="M30" s="1" t="s">
        <v>14</v>
      </c>
      <c r="N30">
        <v>0</v>
      </c>
      <c r="O30" s="1" t="s">
        <v>14</v>
      </c>
      <c r="P30">
        <v>1415.9704000000002</v>
      </c>
      <c r="Q30" s="1" t="s">
        <v>14</v>
      </c>
      <c r="R30">
        <v>344.02959999999985</v>
      </c>
      <c r="S30" s="1" t="s">
        <v>14</v>
      </c>
      <c r="T30">
        <v>86.007399999999961</v>
      </c>
      <c r="U30" s="1" t="s">
        <v>14</v>
      </c>
      <c r="V30">
        <v>24.296383596719238</v>
      </c>
      <c r="W30" s="1" t="s">
        <v>14</v>
      </c>
      <c r="X30">
        <v>5663.8816000000043</v>
      </c>
      <c r="Y30" s="1" t="s">
        <v>12</v>
      </c>
      <c r="Z30" s="1" t="str">
        <f t="shared" si="0"/>
        <v>&lt;tr&gt; &lt;td&gt;7264222&lt;/td&gt;&lt;td&gt;SERVO MG HECTOR PETROL EO-4 X 4 L&lt;/td&gt;&lt;td&gt;1760&lt;/td&gt;&lt;td&gt;1485.968&lt;/td&gt;&lt;td&gt;14.83&lt;/td&gt;&lt;td&gt;0&lt;/td&gt;&lt;td&gt;0&lt;/td&gt;&lt;td&gt;1415.9704&lt;/td&gt;&lt;td&gt;344.0296&lt;/td&gt;&lt;td&gt;86.0074&lt;/td&gt;&lt;td&gt;24.2963835967192&lt;/td&gt;&lt;td&gt;5663.8816&lt;/td&gt;&lt;/tr&gt;</v>
      </c>
    </row>
    <row r="31" spans="1:26" x14ac:dyDescent="0.3">
      <c r="A31" s="1" t="s">
        <v>13</v>
      </c>
      <c r="B31">
        <v>7265234</v>
      </c>
      <c r="C31" s="1" t="s">
        <v>14</v>
      </c>
      <c r="D31" t="s">
        <v>128</v>
      </c>
      <c r="E31" s="1" t="s">
        <v>14</v>
      </c>
      <c r="F31">
        <v>3215</v>
      </c>
      <c r="G31" s="1" t="s">
        <v>14</v>
      </c>
      <c r="H31">
        <v>2692.884</v>
      </c>
      <c r="I31" s="1" t="s">
        <v>14</v>
      </c>
      <c r="J31">
        <v>22.44</v>
      </c>
      <c r="K31" s="1" t="s">
        <v>14</v>
      </c>
      <c r="L31">
        <v>0</v>
      </c>
      <c r="M31" s="1" t="s">
        <v>14</v>
      </c>
      <c r="N31">
        <v>0</v>
      </c>
      <c r="O31" s="1" t="s">
        <v>14</v>
      </c>
      <c r="P31">
        <v>2560.4880000000003</v>
      </c>
      <c r="Q31" s="1" t="s">
        <v>14</v>
      </c>
      <c r="R31">
        <v>654.51199999999972</v>
      </c>
      <c r="S31" s="1" t="s">
        <v>14</v>
      </c>
      <c r="T31">
        <v>130.90239999999994</v>
      </c>
      <c r="U31" s="1" t="s">
        <v>14</v>
      </c>
      <c r="V31">
        <v>25.56200224332235</v>
      </c>
      <c r="W31" s="1" t="s">
        <v>14</v>
      </c>
      <c r="X31">
        <v>10241.952000000008</v>
      </c>
      <c r="Y31" s="1" t="s">
        <v>12</v>
      </c>
      <c r="Z31" s="1" t="str">
        <f t="shared" si="0"/>
        <v>&lt;tr&gt; &lt;td&gt;7265234&lt;/td&gt;&lt;td&gt;SERVO MG GLOSTER DIESEL EO-4 X 5 L LUBE&lt;/td&gt;&lt;td&gt;3215&lt;/td&gt;&lt;td&gt;2692.884&lt;/td&gt;&lt;td&gt;22.44&lt;/td&gt;&lt;td&gt;0&lt;/td&gt;&lt;td&gt;0&lt;/td&gt;&lt;td&gt;2560.488&lt;/td&gt;&lt;td&gt;654.512&lt;/td&gt;&lt;td&gt;130.9024&lt;/td&gt;&lt;td&gt;25.5620022433224&lt;/td&gt;&lt;td&gt;10241.952&lt;/td&gt;&lt;/tr&gt;</v>
      </c>
    </row>
    <row r="32" spans="1:26" x14ac:dyDescent="0.3">
      <c r="A32" s="1" t="s">
        <v>13</v>
      </c>
      <c r="B32">
        <v>7677282</v>
      </c>
      <c r="C32" s="1" t="s">
        <v>14</v>
      </c>
      <c r="D32" t="s">
        <v>129</v>
      </c>
      <c r="E32" s="1" t="s">
        <v>14</v>
      </c>
      <c r="F32">
        <v>3800</v>
      </c>
      <c r="G32" s="1" t="s">
        <v>14</v>
      </c>
      <c r="H32">
        <v>3319.3</v>
      </c>
      <c r="I32" s="1" t="s">
        <v>14</v>
      </c>
      <c r="J32">
        <v>46</v>
      </c>
      <c r="K32" s="1" t="s">
        <v>14</v>
      </c>
      <c r="L32">
        <v>0</v>
      </c>
      <c r="M32" s="1" t="s">
        <v>14</v>
      </c>
      <c r="N32">
        <v>0</v>
      </c>
      <c r="O32" s="1" t="s">
        <v>14</v>
      </c>
      <c r="P32">
        <v>2722.2200000000003</v>
      </c>
      <c r="Q32" s="1" t="s">
        <v>14</v>
      </c>
      <c r="R32">
        <v>1077.7799999999997</v>
      </c>
      <c r="S32" s="1" t="s">
        <v>14</v>
      </c>
      <c r="T32">
        <v>97.979999999999961</v>
      </c>
      <c r="U32" s="1" t="s">
        <v>14</v>
      </c>
      <c r="V32">
        <v>39.591950687306671</v>
      </c>
      <c r="W32" s="1" t="s">
        <v>14</v>
      </c>
      <c r="X32">
        <v>2722.2200000000003</v>
      </c>
      <c r="Y32" s="1" t="s">
        <v>12</v>
      </c>
      <c r="Z32" s="1" t="str">
        <f t="shared" si="0"/>
        <v>&lt;tr&gt; &lt;td&gt;7677282&lt;/td&gt;&lt;td&gt;SERVO PRIDE ALT PLUS 15W-40-11 L&lt;/td&gt;&lt;td&gt;3800&lt;/td&gt;&lt;td&gt;3319.3&lt;/td&gt;&lt;td&gt;46&lt;/td&gt;&lt;td&gt;0&lt;/td&gt;&lt;td&gt;0&lt;/td&gt;&lt;td&gt;2722.22&lt;/td&gt;&lt;td&gt;1077.78&lt;/td&gt;&lt;td&gt;97.98&lt;/td&gt;&lt;td&gt;39.5919506873067&lt;/td&gt;&lt;td&gt;2722.22&lt;/td&gt;&lt;/tr&gt;</v>
      </c>
    </row>
    <row r="33" spans="1:26" x14ac:dyDescent="0.3">
      <c r="A33" s="1" t="s">
        <v>13</v>
      </c>
      <c r="B33">
        <v>7677283</v>
      </c>
      <c r="C33" s="1" t="s">
        <v>14</v>
      </c>
      <c r="D33" t="s">
        <v>130</v>
      </c>
      <c r="E33" s="1" t="s">
        <v>14</v>
      </c>
      <c r="F33">
        <v>5500</v>
      </c>
      <c r="G33" s="1" t="s">
        <v>14</v>
      </c>
      <c r="H33">
        <v>4788.3</v>
      </c>
      <c r="I33" s="1" t="s">
        <v>14</v>
      </c>
      <c r="J33">
        <v>46</v>
      </c>
      <c r="K33" s="1" t="s">
        <v>14</v>
      </c>
      <c r="L33">
        <v>0</v>
      </c>
      <c r="M33" s="1" t="s">
        <v>14</v>
      </c>
      <c r="N33">
        <v>0</v>
      </c>
      <c r="O33" s="1" t="s">
        <v>14</v>
      </c>
      <c r="P33">
        <v>3919.82</v>
      </c>
      <c r="Q33" s="1" t="s">
        <v>14</v>
      </c>
      <c r="R33">
        <v>1580.1799999999998</v>
      </c>
      <c r="S33" s="1" t="s">
        <v>14</v>
      </c>
      <c r="T33">
        <v>98.76124999999999</v>
      </c>
      <c r="U33" s="1" t="s">
        <v>14</v>
      </c>
      <c r="V33">
        <v>40.312565372899769</v>
      </c>
      <c r="W33" s="1" t="s">
        <v>14</v>
      </c>
      <c r="X33">
        <v>3919.82</v>
      </c>
      <c r="Y33" s="1" t="s">
        <v>12</v>
      </c>
      <c r="Z33" s="1" t="str">
        <f t="shared" si="0"/>
        <v>&lt;tr&gt; &lt;td&gt;7677283&lt;/td&gt;&lt;td&gt;SERVO PRIDE ALT PLUS 15W-40-16 L&lt;/td&gt;&lt;td&gt;5500&lt;/td&gt;&lt;td&gt;4788.3&lt;/td&gt;&lt;td&gt;46&lt;/td&gt;&lt;td&gt;0&lt;/td&gt;&lt;td&gt;0&lt;/td&gt;&lt;td&gt;3919.82&lt;/td&gt;&lt;td&gt;1580.18&lt;/td&gt;&lt;td&gt;98.76125&lt;/td&gt;&lt;td&gt;40.3125653728998&lt;/td&gt;&lt;td&gt;3919.82&lt;/td&gt;&lt;/tr&gt;</v>
      </c>
    </row>
    <row r="34" spans="1:26" x14ac:dyDescent="0.3">
      <c r="A34" s="1" t="s">
        <v>13</v>
      </c>
      <c r="B34">
        <v>7677184</v>
      </c>
      <c r="C34" s="1" t="s">
        <v>14</v>
      </c>
      <c r="D34" t="s">
        <v>131</v>
      </c>
      <c r="E34" s="1" t="s">
        <v>14</v>
      </c>
      <c r="F34">
        <v>360</v>
      </c>
      <c r="G34" s="1" t="s">
        <v>14</v>
      </c>
      <c r="H34">
        <v>306.28800000000001</v>
      </c>
      <c r="I34" s="1" t="s">
        <v>14</v>
      </c>
      <c r="J34">
        <v>41</v>
      </c>
      <c r="K34" s="1" t="s">
        <v>14</v>
      </c>
      <c r="L34">
        <v>0</v>
      </c>
      <c r="M34" s="1" t="s">
        <v>14</v>
      </c>
      <c r="N34">
        <v>0</v>
      </c>
      <c r="O34" s="1" t="s">
        <v>14</v>
      </c>
      <c r="P34">
        <v>257.90800000000002</v>
      </c>
      <c r="Q34" s="1" t="s">
        <v>14</v>
      </c>
      <c r="R34">
        <v>102.09199999999998</v>
      </c>
      <c r="S34" s="1" t="s">
        <v>14</v>
      </c>
      <c r="T34">
        <v>102.09199999999998</v>
      </c>
      <c r="U34" s="1" t="s">
        <v>14</v>
      </c>
      <c r="V34">
        <v>39.584658095134692</v>
      </c>
      <c r="W34" s="1" t="s">
        <v>14</v>
      </c>
      <c r="X34">
        <v>5158.1600000000044</v>
      </c>
      <c r="Y34" s="1" t="s">
        <v>12</v>
      </c>
      <c r="Z34" s="1" t="str">
        <f t="shared" si="0"/>
        <v>&lt;tr&gt; &lt;td&gt;7677184&lt;/td&gt;&lt;td&gt;SERVO PRIDE ALT PLUS 15W-40 -20 X 1 L&lt;/td&gt;&lt;td&gt;360&lt;/td&gt;&lt;td&gt;306.288&lt;/td&gt;&lt;td&gt;41&lt;/td&gt;&lt;td&gt;0&lt;/td&gt;&lt;td&gt;0&lt;/td&gt;&lt;td&gt;257.908&lt;/td&gt;&lt;td&gt;102.092&lt;/td&gt;&lt;td&gt;102.092&lt;/td&gt;&lt;td&gt;39.5846580951347&lt;/td&gt;&lt;td&gt;5158.16&lt;/td&gt;&lt;/tr&gt;</v>
      </c>
    </row>
    <row r="35" spans="1:26" x14ac:dyDescent="0.3">
      <c r="A35" s="1" t="s">
        <v>13</v>
      </c>
      <c r="B35">
        <v>2896150</v>
      </c>
      <c r="C35" s="1" t="s">
        <v>14</v>
      </c>
      <c r="D35" t="s">
        <v>132</v>
      </c>
      <c r="E35" s="1" t="s">
        <v>14</v>
      </c>
      <c r="F35">
        <v>320</v>
      </c>
      <c r="G35" s="1" t="s">
        <v>14</v>
      </c>
      <c r="H35">
        <v>250.01599999999999</v>
      </c>
      <c r="I35" s="1" t="s">
        <v>14</v>
      </c>
      <c r="J35">
        <v>0</v>
      </c>
      <c r="K35" s="1" t="s">
        <v>14</v>
      </c>
      <c r="L35">
        <v>0</v>
      </c>
      <c r="M35" s="1" t="s">
        <v>14</v>
      </c>
      <c r="N35">
        <v>0</v>
      </c>
      <c r="O35" s="1" t="s">
        <v>14</v>
      </c>
      <c r="P35">
        <v>250.01599999999999</v>
      </c>
      <c r="Q35" s="1" t="s">
        <v>14</v>
      </c>
      <c r="R35">
        <v>69.984000000000009</v>
      </c>
      <c r="S35" s="1" t="s">
        <v>14</v>
      </c>
      <c r="T35">
        <v>77.759999999999991</v>
      </c>
      <c r="U35" s="1" t="s">
        <v>14</v>
      </c>
      <c r="V35">
        <v>27.991808524254452</v>
      </c>
      <c r="W35" s="1" t="s">
        <v>14</v>
      </c>
      <c r="X35">
        <v>2500.16</v>
      </c>
      <c r="Y35" s="1" t="s">
        <v>12</v>
      </c>
      <c r="Z35" s="1" t="str">
        <f t="shared" si="0"/>
        <v>&lt;tr&gt; &lt;td&gt;2896150&lt;/td&gt;&lt;td&gt;TRU4 KRAAFT-10 X 0.9 L&lt;/td&gt;&lt;td&gt;320&lt;/td&gt;&lt;td&gt;250.016&lt;/td&gt;&lt;td&gt;0&lt;/td&gt;&lt;td&gt;0&lt;/td&gt;&lt;td&gt;0&lt;/td&gt;&lt;td&gt;250.016&lt;/td&gt;&lt;td&gt;69.984&lt;/td&gt;&lt;td&gt;77.76&lt;/td&gt;&lt;td&gt;27.9918085242545&lt;/td&gt;&lt;td&gt;2500.16&lt;/td&gt;&lt;/tr&gt;</v>
      </c>
    </row>
    <row r="36" spans="1:26" x14ac:dyDescent="0.3">
      <c r="A36" s="1" t="s">
        <v>13</v>
      </c>
      <c r="B36">
        <v>2896185</v>
      </c>
      <c r="C36" s="1" t="s">
        <v>14</v>
      </c>
      <c r="D36" t="s">
        <v>133</v>
      </c>
      <c r="E36" s="1" t="s">
        <v>14</v>
      </c>
      <c r="F36">
        <v>350</v>
      </c>
      <c r="G36" s="1" t="s">
        <v>14</v>
      </c>
      <c r="H36">
        <v>274.99499999999995</v>
      </c>
      <c r="I36" s="1" t="s">
        <v>14</v>
      </c>
      <c r="J36">
        <v>0</v>
      </c>
      <c r="K36" s="1" t="s">
        <v>14</v>
      </c>
      <c r="L36">
        <v>0</v>
      </c>
      <c r="M36" s="1" t="s">
        <v>14</v>
      </c>
      <c r="N36">
        <v>0</v>
      </c>
      <c r="O36" s="1" t="s">
        <v>14</v>
      </c>
      <c r="P36">
        <v>274.99499999999995</v>
      </c>
      <c r="Q36" s="1" t="s">
        <v>14</v>
      </c>
      <c r="R36">
        <v>75.005000000000052</v>
      </c>
      <c r="S36" s="1" t="s">
        <v>14</v>
      </c>
      <c r="T36">
        <v>75.005000000000052</v>
      </c>
      <c r="U36" s="1" t="s">
        <v>14</v>
      </c>
      <c r="V36">
        <v>27.275041364388468</v>
      </c>
      <c r="W36" s="1" t="s">
        <v>14</v>
      </c>
      <c r="X36">
        <v>2749.9500000000007</v>
      </c>
      <c r="Y36" s="1" t="s">
        <v>12</v>
      </c>
      <c r="Z36" s="1" t="str">
        <f t="shared" si="0"/>
        <v>&lt;tr&gt; &lt;td&gt;2896185&lt;/td&gt;&lt;td&gt;TRU4 KRAAFT-10 X 1 L&lt;/td&gt;&lt;td&gt;350&lt;/td&gt;&lt;td&gt;274.995&lt;/td&gt;&lt;td&gt;0&lt;/td&gt;&lt;td&gt;0&lt;/td&gt;&lt;td&gt;0&lt;/td&gt;&lt;td&gt;274.995&lt;/td&gt;&lt;td&gt;75.0050000000001&lt;/td&gt;&lt;td&gt;75.0050000000001&lt;/td&gt;&lt;td&gt;27.2750413643885&lt;/td&gt;&lt;td&gt;2749.95&lt;/td&gt;&lt;/tr&gt;</v>
      </c>
    </row>
    <row r="37" spans="1:26" x14ac:dyDescent="0.3">
      <c r="A37" s="1" t="s">
        <v>13</v>
      </c>
      <c r="B37">
        <v>2927152</v>
      </c>
      <c r="C37" s="1" t="s">
        <v>14</v>
      </c>
      <c r="D37" t="s">
        <v>134</v>
      </c>
      <c r="E37" s="1" t="s">
        <v>14</v>
      </c>
      <c r="F37">
        <v>342</v>
      </c>
      <c r="G37" s="1" t="s">
        <v>14</v>
      </c>
      <c r="H37">
        <v>270.96659999999997</v>
      </c>
      <c r="I37" s="1" t="s">
        <v>14</v>
      </c>
      <c r="J37">
        <v>26</v>
      </c>
      <c r="K37" s="1" t="s">
        <v>14</v>
      </c>
      <c r="L37">
        <v>0</v>
      </c>
      <c r="M37" s="1" t="s">
        <v>14</v>
      </c>
      <c r="N37">
        <v>0</v>
      </c>
      <c r="O37" s="1" t="s">
        <v>14</v>
      </c>
      <c r="P37">
        <v>243.35459999999995</v>
      </c>
      <c r="Q37" s="1" t="s">
        <v>14</v>
      </c>
      <c r="R37">
        <v>98.645400000000052</v>
      </c>
      <c r="S37" s="1" t="s">
        <v>14</v>
      </c>
      <c r="T37">
        <v>109.60600000000005</v>
      </c>
      <c r="U37" s="1" t="s">
        <v>14</v>
      </c>
      <c r="V37">
        <v>40.535662773582281</v>
      </c>
      <c r="W37" s="1" t="s">
        <v>14</v>
      </c>
      <c r="X37">
        <v>4867.0919999999987</v>
      </c>
      <c r="Y37" s="1" t="s">
        <v>12</v>
      </c>
      <c r="Z37" s="1" t="str">
        <f t="shared" si="0"/>
        <v>&lt;tr&gt; &lt;td&gt;2927152&lt;/td&gt;&lt;td&gt;SERVO HONDA JOSH-20 X 0.9 L&lt;/td&gt;&lt;td&gt;342&lt;/td&gt;&lt;td&gt;270.9666&lt;/td&gt;&lt;td&gt;26&lt;/td&gt;&lt;td&gt;0&lt;/td&gt;&lt;td&gt;0&lt;/td&gt;&lt;td&gt;243.3546&lt;/td&gt;&lt;td&gt;98.6454000000001&lt;/td&gt;&lt;td&gt;109.606&lt;/td&gt;&lt;td&gt;40.5356627735823&lt;/td&gt;&lt;td&gt;4867.092&lt;/td&gt;&lt;/tr&gt;</v>
      </c>
    </row>
    <row r="38" spans="1:26" x14ac:dyDescent="0.3">
      <c r="A38" s="1" t="s">
        <v>13</v>
      </c>
      <c r="B38">
        <v>2927184</v>
      </c>
      <c r="C38" s="1" t="s">
        <v>14</v>
      </c>
      <c r="D38" t="s">
        <v>135</v>
      </c>
      <c r="E38" s="1" t="s">
        <v>14</v>
      </c>
      <c r="F38">
        <v>380</v>
      </c>
      <c r="G38" s="1" t="s">
        <v>14</v>
      </c>
      <c r="H38">
        <v>301.07400000000001</v>
      </c>
      <c r="I38" s="1" t="s">
        <v>14</v>
      </c>
      <c r="J38">
        <v>26</v>
      </c>
      <c r="K38" s="1" t="s">
        <v>14</v>
      </c>
      <c r="L38">
        <v>0</v>
      </c>
      <c r="M38" s="1" t="s">
        <v>14</v>
      </c>
      <c r="N38">
        <v>0</v>
      </c>
      <c r="O38" s="1" t="s">
        <v>14</v>
      </c>
      <c r="P38">
        <v>270.39400000000001</v>
      </c>
      <c r="Q38" s="1" t="s">
        <v>14</v>
      </c>
      <c r="R38">
        <v>109.60599999999999</v>
      </c>
      <c r="S38" s="1" t="s">
        <v>14</v>
      </c>
      <c r="T38">
        <v>109.60599999999999</v>
      </c>
      <c r="U38" s="1" t="s">
        <v>14</v>
      </c>
      <c r="V38">
        <v>40.535662773582253</v>
      </c>
      <c r="W38" s="1" t="s">
        <v>14</v>
      </c>
      <c r="X38">
        <v>5407.8800000000037</v>
      </c>
      <c r="Y38" s="1" t="s">
        <v>12</v>
      </c>
      <c r="Z38" s="1" t="str">
        <f t="shared" si="0"/>
        <v>&lt;tr&gt; &lt;td&gt;2927184&lt;/td&gt;&lt;td&gt;SERVO HONDA JOSH-20 X 1 L&lt;/td&gt;&lt;td&gt;380&lt;/td&gt;&lt;td&gt;301.074&lt;/td&gt;&lt;td&gt;26&lt;/td&gt;&lt;td&gt;0&lt;/td&gt;&lt;td&gt;0&lt;/td&gt;&lt;td&gt;270.394&lt;/td&gt;&lt;td&gt;109.606&lt;/td&gt;&lt;td&gt;109.606&lt;/td&gt;&lt;td&gt;40.5356627735823&lt;/td&gt;&lt;td&gt;5407.88&lt;/td&gt;&lt;/tr&gt;</v>
      </c>
    </row>
    <row r="39" spans="1:26" x14ac:dyDescent="0.3">
      <c r="A39" s="1" t="s">
        <v>13</v>
      </c>
      <c r="B39">
        <v>2933156</v>
      </c>
      <c r="C39" s="1" t="s">
        <v>14</v>
      </c>
      <c r="D39" t="s">
        <v>136</v>
      </c>
      <c r="E39" s="1" t="s">
        <v>14</v>
      </c>
      <c r="F39">
        <v>324</v>
      </c>
      <c r="G39" s="1" t="s">
        <v>14</v>
      </c>
      <c r="H39">
        <v>241.89840000000001</v>
      </c>
      <c r="I39" s="1" t="s">
        <v>14</v>
      </c>
      <c r="J39">
        <v>36</v>
      </c>
      <c r="K39" s="1" t="s">
        <v>14</v>
      </c>
      <c r="L39">
        <v>0</v>
      </c>
      <c r="M39" s="1" t="s">
        <v>14</v>
      </c>
      <c r="N39">
        <v>0</v>
      </c>
      <c r="O39" s="1" t="s">
        <v>14</v>
      </c>
      <c r="P39">
        <v>207.91439999999997</v>
      </c>
      <c r="Q39" s="1" t="s">
        <v>14</v>
      </c>
      <c r="R39">
        <v>116.08560000000003</v>
      </c>
      <c r="S39" s="1" t="s">
        <v>14</v>
      </c>
      <c r="T39">
        <v>145.10700000000003</v>
      </c>
      <c r="U39" s="1" t="s">
        <v>14</v>
      </c>
      <c r="V39">
        <v>55.833362191363392</v>
      </c>
      <c r="W39" s="1" t="s">
        <v>14</v>
      </c>
      <c r="X39">
        <v>4158.2879999999996</v>
      </c>
      <c r="Y39" s="1" t="s">
        <v>12</v>
      </c>
      <c r="Z39" s="1" t="str">
        <f t="shared" si="0"/>
        <v>&lt;tr&gt; &lt;td&gt;2933156&lt;/td&gt;&lt;td&gt;SERVO HONDA SCOOTONXT-20 X 0.8 L&lt;/td&gt;&lt;td&gt;324&lt;/td&gt;&lt;td&gt;241.8984&lt;/td&gt;&lt;td&gt;36&lt;/td&gt;&lt;td&gt;0&lt;/td&gt;&lt;td&gt;0&lt;/td&gt;&lt;td&gt;207.9144&lt;/td&gt;&lt;td&gt;116.0856&lt;/td&gt;&lt;td&gt;145.107&lt;/td&gt;&lt;td&gt;55.8333621913634&lt;/td&gt;&lt;td&gt;4158.288&lt;/td&gt;&lt;/tr&gt;</v>
      </c>
    </row>
    <row r="40" spans="1:26" x14ac:dyDescent="0.3">
      <c r="A40" s="1" t="s">
        <v>13</v>
      </c>
      <c r="B40">
        <v>1404184</v>
      </c>
      <c r="C40" s="1" t="s">
        <v>14</v>
      </c>
      <c r="D40" t="s">
        <v>137</v>
      </c>
      <c r="E40" s="1" t="s">
        <v>14</v>
      </c>
      <c r="F40">
        <v>355</v>
      </c>
      <c r="G40" s="1" t="s">
        <v>14</v>
      </c>
      <c r="H40">
        <v>281.30199999999996</v>
      </c>
      <c r="I40" s="1" t="s">
        <v>14</v>
      </c>
      <c r="J40">
        <v>6</v>
      </c>
      <c r="K40" s="1" t="s">
        <v>14</v>
      </c>
      <c r="L40">
        <v>0</v>
      </c>
      <c r="M40" s="1" t="s">
        <v>14</v>
      </c>
      <c r="N40">
        <v>0</v>
      </c>
      <c r="O40" s="1" t="s">
        <v>14</v>
      </c>
      <c r="P40">
        <v>274.22199999999998</v>
      </c>
      <c r="Q40" s="1" t="s">
        <v>14</v>
      </c>
      <c r="R40">
        <v>80.77800000000002</v>
      </c>
      <c r="S40" s="1" t="s">
        <v>14</v>
      </c>
      <c r="T40">
        <v>80.77800000000002</v>
      </c>
      <c r="U40" s="1" t="s">
        <v>14</v>
      </c>
      <c r="V40">
        <v>29.457155151665447</v>
      </c>
      <c r="W40" s="1" t="s">
        <v>14</v>
      </c>
      <c r="X40">
        <v>5484.4400000000032</v>
      </c>
      <c r="Y40" s="1" t="s">
        <v>12</v>
      </c>
      <c r="Z40" s="1" t="str">
        <f t="shared" si="0"/>
        <v>&lt;tr&gt; &lt;td&gt;1404184&lt;/td&gt;&lt;td&gt;SERVO PRIDE 40 - 20x1L - HDPE&lt;/td&gt;&lt;td&gt;355&lt;/td&gt;&lt;td&gt;281.302&lt;/td&gt;&lt;td&gt;6&lt;/td&gt;&lt;td&gt;0&lt;/td&gt;&lt;td&gt;0&lt;/td&gt;&lt;td&gt;274.222&lt;/td&gt;&lt;td&gt;80.778&lt;/td&gt;&lt;td&gt;80.778&lt;/td&gt;&lt;td&gt;29.4571551516654&lt;/td&gt;&lt;td&gt;5484.44&lt;/td&gt;&lt;/tr&gt;</v>
      </c>
    </row>
    <row r="41" spans="1:26" x14ac:dyDescent="0.3">
      <c r="A41" s="1" t="s">
        <v>13</v>
      </c>
      <c r="B41">
        <v>1404234</v>
      </c>
      <c r="C41" s="1" t="s">
        <v>14</v>
      </c>
      <c r="D41" t="s">
        <v>138</v>
      </c>
      <c r="E41" s="1" t="s">
        <v>14</v>
      </c>
      <c r="F41">
        <v>1775</v>
      </c>
      <c r="G41" s="1" t="s">
        <v>14</v>
      </c>
      <c r="H41">
        <v>1387.34</v>
      </c>
      <c r="I41" s="1" t="s">
        <v>14</v>
      </c>
      <c r="J41">
        <v>6</v>
      </c>
      <c r="K41" s="1" t="s">
        <v>14</v>
      </c>
      <c r="L41">
        <v>0</v>
      </c>
      <c r="M41" s="1" t="s">
        <v>14</v>
      </c>
      <c r="N41">
        <v>0</v>
      </c>
      <c r="O41" s="1" t="s">
        <v>14</v>
      </c>
      <c r="P41">
        <v>1351.9399999999998</v>
      </c>
      <c r="Q41" s="1" t="s">
        <v>14</v>
      </c>
      <c r="R41">
        <v>423.06000000000017</v>
      </c>
      <c r="S41" s="1" t="s">
        <v>14</v>
      </c>
      <c r="T41">
        <v>84.612000000000023</v>
      </c>
      <c r="U41" s="1" t="s">
        <v>14</v>
      </c>
      <c r="V41">
        <v>31.292808852463882</v>
      </c>
      <c r="W41" s="1" t="s">
        <v>14</v>
      </c>
      <c r="X41">
        <v>5407.7600000000029</v>
      </c>
      <c r="Y41" s="1" t="s">
        <v>12</v>
      </c>
      <c r="Z41" s="1" t="str">
        <f t="shared" si="0"/>
        <v>&lt;tr&gt; &lt;td&gt;1404234&lt;/td&gt;&lt;td&gt;SERVO PRIDE 40 - 4x5L - HDPE&lt;/td&gt;&lt;td&gt;1775&lt;/td&gt;&lt;td&gt;1387.34&lt;/td&gt;&lt;td&gt;6&lt;/td&gt;&lt;td&gt;0&lt;/td&gt;&lt;td&gt;0&lt;/td&gt;&lt;td&gt;1351.94&lt;/td&gt;&lt;td&gt;423.06&lt;/td&gt;&lt;td&gt;84.612&lt;/td&gt;&lt;td&gt;31.2928088524639&lt;/td&gt;&lt;td&gt;5407.76&lt;/td&gt;&lt;/tr&gt;</v>
      </c>
    </row>
    <row r="42" spans="1:26" x14ac:dyDescent="0.3">
      <c r="A42" s="1" t="s">
        <v>13</v>
      </c>
      <c r="B42">
        <v>1404242</v>
      </c>
      <c r="C42" s="1" t="s">
        <v>14</v>
      </c>
      <c r="D42" t="s">
        <v>139</v>
      </c>
      <c r="E42" s="1" t="s">
        <v>14</v>
      </c>
      <c r="F42">
        <v>3550</v>
      </c>
      <c r="G42" s="1" t="s">
        <v>14</v>
      </c>
      <c r="H42">
        <v>2763.32</v>
      </c>
      <c r="I42" s="1" t="s">
        <v>14</v>
      </c>
      <c r="J42">
        <v>6</v>
      </c>
      <c r="K42" s="1" t="s">
        <v>14</v>
      </c>
      <c r="L42">
        <v>0</v>
      </c>
      <c r="M42" s="1" t="s">
        <v>14</v>
      </c>
      <c r="N42">
        <v>0</v>
      </c>
      <c r="O42" s="1" t="s">
        <v>14</v>
      </c>
      <c r="P42">
        <v>2692.5200000000004</v>
      </c>
      <c r="Q42" s="1" t="s">
        <v>14</v>
      </c>
      <c r="R42">
        <v>857.47999999999956</v>
      </c>
      <c r="S42" s="1" t="s">
        <v>14</v>
      </c>
      <c r="T42">
        <v>85.747999999999934</v>
      </c>
      <c r="U42" s="1" t="s">
        <v>14</v>
      </c>
      <c r="V42">
        <v>31.846745799474078</v>
      </c>
      <c r="W42" s="1" t="s">
        <v>14</v>
      </c>
      <c r="X42">
        <v>2692.5200000000018</v>
      </c>
      <c r="Y42" s="1" t="s">
        <v>12</v>
      </c>
      <c r="Z42" s="1" t="str">
        <f t="shared" si="0"/>
        <v>&lt;tr&gt; &lt;td&gt;1404242&lt;/td&gt;&lt;td&gt;SERVO PRIDE 40 - 10L BUC&lt;/td&gt;&lt;td&gt;3550&lt;/td&gt;&lt;td&gt;2763.32&lt;/td&gt;&lt;td&gt;6&lt;/td&gt;&lt;td&gt;0&lt;/td&gt;&lt;td&gt;0&lt;/td&gt;&lt;td&gt;2692.52&lt;/td&gt;&lt;td&gt;857.48&lt;/td&gt;&lt;td&gt;85.7479999999999&lt;/td&gt;&lt;td&gt;31.8467457994741&lt;/td&gt;&lt;td&gt;2692.52&lt;/td&gt;&lt;/tr&gt;</v>
      </c>
    </row>
    <row r="43" spans="1:26" x14ac:dyDescent="0.3">
      <c r="A43" s="1" t="s">
        <v>13</v>
      </c>
      <c r="B43">
        <v>1404265</v>
      </c>
      <c r="C43" s="1" t="s">
        <v>14</v>
      </c>
      <c r="D43" t="s">
        <v>140</v>
      </c>
      <c r="E43" s="1" t="s">
        <v>14</v>
      </c>
      <c r="F43">
        <v>6900</v>
      </c>
      <c r="G43" s="1" t="s">
        <v>14</v>
      </c>
      <c r="H43">
        <v>5472.39</v>
      </c>
      <c r="I43" s="1" t="s">
        <v>14</v>
      </c>
      <c r="J43">
        <v>6</v>
      </c>
      <c r="K43" s="1" t="s">
        <v>14</v>
      </c>
      <c r="L43">
        <v>0</v>
      </c>
      <c r="M43" s="1" t="s">
        <v>14</v>
      </c>
      <c r="N43">
        <v>0</v>
      </c>
      <c r="O43" s="1" t="s">
        <v>14</v>
      </c>
      <c r="P43">
        <v>5330.7900000000009</v>
      </c>
      <c r="Q43" s="1" t="s">
        <v>14</v>
      </c>
      <c r="R43">
        <v>1569.2099999999991</v>
      </c>
      <c r="S43" s="1" t="s">
        <v>14</v>
      </c>
      <c r="T43">
        <v>78.460499999999968</v>
      </c>
      <c r="U43" s="1" t="s">
        <v>14</v>
      </c>
      <c r="V43">
        <v>29.436725138300307</v>
      </c>
      <c r="W43" s="1" t="s">
        <v>14</v>
      </c>
      <c r="X43">
        <v>5330.7900000000045</v>
      </c>
      <c r="Y43" s="1" t="s">
        <v>12</v>
      </c>
      <c r="Z43" s="1" t="str">
        <f t="shared" si="0"/>
        <v>&lt;tr&gt; &lt;td&gt;1404265&lt;/td&gt;&lt;td&gt;SERVO PRIDE 40-20L BUC&lt;/td&gt;&lt;td&gt;6900&lt;/td&gt;&lt;td&gt;5472.39&lt;/td&gt;&lt;td&gt;6&lt;/td&gt;&lt;td&gt;0&lt;/td&gt;&lt;td&gt;0&lt;/td&gt;&lt;td&gt;5330.79&lt;/td&gt;&lt;td&gt;1569.21&lt;/td&gt;&lt;td&gt;78.4605&lt;/td&gt;&lt;td&gt;29.4367251383003&lt;/td&gt;&lt;td&gt;5330.79&lt;/td&gt;&lt;/tr&gt;</v>
      </c>
    </row>
    <row r="44" spans="1:26" x14ac:dyDescent="0.3">
      <c r="A44" s="1" t="s">
        <v>13</v>
      </c>
      <c r="B44">
        <v>5034184</v>
      </c>
      <c r="C44" s="1" t="s">
        <v>14</v>
      </c>
      <c r="D44" t="s">
        <v>141</v>
      </c>
      <c r="E44" s="1" t="s">
        <v>14</v>
      </c>
      <c r="F44">
        <v>310</v>
      </c>
      <c r="G44" s="1" t="s">
        <v>14</v>
      </c>
      <c r="H44">
        <v>212.35</v>
      </c>
      <c r="I44" s="1" t="s">
        <v>14</v>
      </c>
      <c r="J44">
        <v>15</v>
      </c>
      <c r="K44" s="1" t="s">
        <v>14</v>
      </c>
      <c r="L44">
        <v>0</v>
      </c>
      <c r="M44" s="1" t="s">
        <v>14</v>
      </c>
      <c r="N44">
        <v>0</v>
      </c>
      <c r="O44" s="1" t="s">
        <v>14</v>
      </c>
      <c r="P44">
        <v>194.64999999999998</v>
      </c>
      <c r="Q44" s="1" t="s">
        <v>14</v>
      </c>
      <c r="R44">
        <v>115.35000000000002</v>
      </c>
      <c r="S44" s="1" t="s">
        <v>14</v>
      </c>
      <c r="T44">
        <v>115.35000000000002</v>
      </c>
      <c r="U44" s="1" t="s">
        <v>14</v>
      </c>
      <c r="V44">
        <v>59.260210634472145</v>
      </c>
      <c r="W44" s="1" t="s">
        <v>14</v>
      </c>
      <c r="X44">
        <v>3893.0000000000023</v>
      </c>
      <c r="Y44" s="1" t="s">
        <v>12</v>
      </c>
      <c r="Z44" s="1" t="str">
        <f t="shared" si="0"/>
        <v>&lt;tr&gt; &lt;td&gt;5034184&lt;/td&gt;&lt;td&gt;SERVO GAS ENGINE OIL - 20x1L - HDPE&lt;/td&gt;&lt;td&gt;310&lt;/td&gt;&lt;td&gt;212.35&lt;/td&gt;&lt;td&gt;15&lt;/td&gt;&lt;td&gt;0&lt;/td&gt;&lt;td&gt;0&lt;/td&gt;&lt;td&gt;194.65&lt;/td&gt;&lt;td&gt;115.35&lt;/td&gt;&lt;td&gt;115.35&lt;/td&gt;&lt;td&gt;59.2602106344721&lt;/td&gt;&lt;td&gt;3893&lt;/td&gt;&lt;/tr&gt;</v>
      </c>
    </row>
    <row r="45" spans="1:26" x14ac:dyDescent="0.3">
      <c r="A45" s="1" t="s">
        <v>13</v>
      </c>
      <c r="B45">
        <v>5034203</v>
      </c>
      <c r="C45" s="1" t="s">
        <v>14</v>
      </c>
      <c r="D45" t="s">
        <v>142</v>
      </c>
      <c r="E45" s="1" t="s">
        <v>14</v>
      </c>
      <c r="F45">
        <v>905</v>
      </c>
      <c r="G45" s="1" t="s">
        <v>14</v>
      </c>
      <c r="H45">
        <v>629.42750000000001</v>
      </c>
      <c r="I45" s="1" t="s">
        <v>14</v>
      </c>
      <c r="J45">
        <v>15</v>
      </c>
      <c r="K45" s="1" t="s">
        <v>14</v>
      </c>
      <c r="L45">
        <v>0</v>
      </c>
      <c r="M45" s="1" t="s">
        <v>14</v>
      </c>
      <c r="N45">
        <v>0</v>
      </c>
      <c r="O45" s="1" t="s">
        <v>14</v>
      </c>
      <c r="P45">
        <v>576.3275000000001</v>
      </c>
      <c r="Q45" s="1" t="s">
        <v>14</v>
      </c>
      <c r="R45">
        <v>328.6724999999999</v>
      </c>
      <c r="S45" s="1" t="s">
        <v>14</v>
      </c>
      <c r="T45">
        <v>109.55749999999998</v>
      </c>
      <c r="U45" s="1" t="s">
        <v>14</v>
      </c>
      <c r="V45">
        <v>57.028772703020394</v>
      </c>
      <c r="W45" s="1" t="s">
        <v>14</v>
      </c>
      <c r="X45">
        <v>2305.3100000000013</v>
      </c>
      <c r="Y45" s="1" t="s">
        <v>12</v>
      </c>
      <c r="Z45" s="1" t="str">
        <f t="shared" si="0"/>
        <v>&lt;tr&gt; &lt;td&gt;5034203&lt;/td&gt;&lt;td&gt;SERVO GAS ENGINE OIL-4X3L-HDPE&lt;/td&gt;&lt;td&gt;905&lt;/td&gt;&lt;td&gt;629.4275&lt;/td&gt;&lt;td&gt;15&lt;/td&gt;&lt;td&gt;0&lt;/td&gt;&lt;td&gt;0&lt;/td&gt;&lt;td&gt;576.3275&lt;/td&gt;&lt;td&gt;328.6725&lt;/td&gt;&lt;td&gt;109.5575&lt;/td&gt;&lt;td&gt;57.0287727030204&lt;/td&gt;&lt;td&gt;2305.31&lt;/td&gt;&lt;/tr&gt;</v>
      </c>
    </row>
    <row r="46" spans="1:26" x14ac:dyDescent="0.3">
      <c r="A46" s="1" t="s">
        <v>13</v>
      </c>
      <c r="B46">
        <v>5034229</v>
      </c>
      <c r="C46" s="1" t="s">
        <v>14</v>
      </c>
      <c r="D46" t="s">
        <v>143</v>
      </c>
      <c r="E46" s="1" t="s">
        <v>14</v>
      </c>
      <c r="F46">
        <v>310</v>
      </c>
      <c r="G46" s="1" t="s">
        <v>14</v>
      </c>
      <c r="H46">
        <v>212.35</v>
      </c>
      <c r="I46" s="1" t="s">
        <v>14</v>
      </c>
      <c r="J46">
        <v>15</v>
      </c>
      <c r="K46" s="1" t="s">
        <v>14</v>
      </c>
      <c r="L46">
        <v>0</v>
      </c>
      <c r="M46" s="1" t="s">
        <v>14</v>
      </c>
      <c r="N46">
        <v>0</v>
      </c>
      <c r="O46" s="1" t="s">
        <v>14</v>
      </c>
      <c r="P46">
        <v>194.64999999999998</v>
      </c>
      <c r="Q46" s="1" t="s">
        <v>14</v>
      </c>
      <c r="R46">
        <v>115.35000000000002</v>
      </c>
      <c r="S46" s="1" t="s">
        <v>14</v>
      </c>
      <c r="T46">
        <v>115.35000000000002</v>
      </c>
      <c r="U46" s="1" t="s">
        <v>14</v>
      </c>
      <c r="V46">
        <v>59.260210634472145</v>
      </c>
      <c r="W46" s="1" t="s">
        <v>14</v>
      </c>
      <c r="X46">
        <v>3892.9999999999995</v>
      </c>
      <c r="Y46" s="1" t="s">
        <v>12</v>
      </c>
      <c r="Z46" s="1" t="str">
        <f t="shared" si="0"/>
        <v>&lt;tr&gt; &lt;td&gt;5034229&lt;/td&gt;&lt;td&gt;SERVO GAS ENGINE OIL-20 X 1 L PROMO&lt;/td&gt;&lt;td&gt;310&lt;/td&gt;&lt;td&gt;212.35&lt;/td&gt;&lt;td&gt;15&lt;/td&gt;&lt;td&gt;0&lt;/td&gt;&lt;td&gt;0&lt;/td&gt;&lt;td&gt;194.65&lt;/td&gt;&lt;td&gt;115.35&lt;/td&gt;&lt;td&gt;115.35&lt;/td&gt;&lt;td&gt;59.2602106344721&lt;/td&gt;&lt;td&gt;3893&lt;/td&gt;&lt;/tr&gt;</v>
      </c>
    </row>
    <row r="47" spans="1:26" x14ac:dyDescent="0.3">
      <c r="A47" s="1" t="s">
        <v>13</v>
      </c>
      <c r="B47">
        <v>7231256</v>
      </c>
      <c r="C47" s="1" t="s">
        <v>14</v>
      </c>
      <c r="D47" t="s">
        <v>144</v>
      </c>
      <c r="E47" s="1" t="s">
        <v>14</v>
      </c>
      <c r="F47">
        <v>5625</v>
      </c>
      <c r="G47" s="1" t="s">
        <v>14</v>
      </c>
      <c r="H47">
        <v>4503.9374999999991</v>
      </c>
      <c r="I47" s="1" t="s">
        <v>14</v>
      </c>
      <c r="J47">
        <v>46</v>
      </c>
      <c r="K47" s="1" t="s">
        <v>14</v>
      </c>
      <c r="L47">
        <v>0</v>
      </c>
      <c r="M47" s="1" t="s">
        <v>14</v>
      </c>
      <c r="N47">
        <v>0</v>
      </c>
      <c r="O47" s="1" t="s">
        <v>14</v>
      </c>
      <c r="P47">
        <v>3689.7374999999993</v>
      </c>
      <c r="Q47" s="1" t="s">
        <v>14</v>
      </c>
      <c r="R47">
        <v>1935.2625000000007</v>
      </c>
      <c r="S47" s="1" t="s">
        <v>14</v>
      </c>
      <c r="T47">
        <v>129.01750000000004</v>
      </c>
      <c r="U47" s="1" t="s">
        <v>14</v>
      </c>
      <c r="V47">
        <v>52.449869401278583</v>
      </c>
      <c r="W47" s="1" t="s">
        <v>14</v>
      </c>
      <c r="X47">
        <v>3689.7375000000015</v>
      </c>
      <c r="Y47" s="1" t="s">
        <v>12</v>
      </c>
      <c r="Z47" s="1" t="str">
        <f t="shared" si="0"/>
        <v>&lt;tr&gt; &lt;td&gt;7231256&lt;/td&gt;&lt;td&gt;SERVO RAFTAAR-15 L&lt;/td&gt;&lt;td&gt;5625&lt;/td&gt;&lt;td&gt;4503.9375&lt;/td&gt;&lt;td&gt;46&lt;/td&gt;&lt;td&gt;0&lt;/td&gt;&lt;td&gt;0&lt;/td&gt;&lt;td&gt;3689.7375&lt;/td&gt;&lt;td&gt;1935.2625&lt;/td&gt;&lt;td&gt;129.0175&lt;/td&gt;&lt;td&gt;52.4498694012786&lt;/td&gt;&lt;td&gt;3689.7375&lt;/td&gt;&lt;/tr&gt;</v>
      </c>
    </row>
    <row r="48" spans="1:26" x14ac:dyDescent="0.3">
      <c r="A48" s="1" t="s">
        <v>13</v>
      </c>
      <c r="B48">
        <v>7429184</v>
      </c>
      <c r="C48" s="1" t="s">
        <v>14</v>
      </c>
      <c r="D48" t="s">
        <v>145</v>
      </c>
      <c r="E48" s="1" t="s">
        <v>14</v>
      </c>
      <c r="F48">
        <v>415</v>
      </c>
      <c r="G48" s="1" t="s">
        <v>14</v>
      </c>
      <c r="H48">
        <v>275.35249999999996</v>
      </c>
      <c r="I48" s="1" t="s">
        <v>14</v>
      </c>
      <c r="J48">
        <v>11</v>
      </c>
      <c r="K48" s="1" t="s">
        <v>14</v>
      </c>
      <c r="L48">
        <v>0</v>
      </c>
      <c r="M48" s="1" t="s">
        <v>14</v>
      </c>
      <c r="N48">
        <v>0</v>
      </c>
      <c r="O48" s="1" t="s">
        <v>14</v>
      </c>
      <c r="P48">
        <v>262.3725</v>
      </c>
      <c r="Q48" s="1" t="s">
        <v>14</v>
      </c>
      <c r="R48">
        <v>152.6275</v>
      </c>
      <c r="S48" s="1" t="s">
        <v>14</v>
      </c>
      <c r="T48">
        <v>152.6275</v>
      </c>
      <c r="U48" s="1" t="s">
        <v>14</v>
      </c>
      <c r="V48">
        <v>58.172064526579568</v>
      </c>
      <c r="W48" s="1" t="s">
        <v>14</v>
      </c>
      <c r="X48">
        <v>5247.4500000000035</v>
      </c>
      <c r="Y48" s="1" t="s">
        <v>12</v>
      </c>
      <c r="Z48" s="1" t="str">
        <f t="shared" si="0"/>
        <v>&lt;tr&gt; &lt;td&gt;7429184&lt;/td&gt;&lt;td&gt;SERVO SUPERMILE 10W-30-20 X 1 L&lt;/td&gt;&lt;td&gt;415&lt;/td&gt;&lt;td&gt;275.3525&lt;/td&gt;&lt;td&gt;11&lt;/td&gt;&lt;td&gt;0&lt;/td&gt;&lt;td&gt;0&lt;/td&gt;&lt;td&gt;262.3725&lt;/td&gt;&lt;td&gt;152.6275&lt;/td&gt;&lt;td&gt;152.6275&lt;/td&gt;&lt;td&gt;58.1720645265796&lt;/td&gt;&lt;td&gt;5247.45&lt;/td&gt;&lt;/tr&gt;</v>
      </c>
    </row>
    <row r="49" spans="1:26" x14ac:dyDescent="0.3">
      <c r="A49" s="1" t="s">
        <v>13</v>
      </c>
      <c r="B49">
        <v>7429240</v>
      </c>
      <c r="C49" s="1" t="s">
        <v>14</v>
      </c>
      <c r="D49" t="s">
        <v>146</v>
      </c>
      <c r="E49" s="1" t="s">
        <v>14</v>
      </c>
      <c r="F49">
        <v>2075</v>
      </c>
      <c r="G49" s="1" t="s">
        <v>14</v>
      </c>
      <c r="H49">
        <v>1374.6875</v>
      </c>
      <c r="I49" s="1" t="s">
        <v>14</v>
      </c>
      <c r="J49">
        <v>11</v>
      </c>
      <c r="K49" s="1" t="s">
        <v>14</v>
      </c>
      <c r="L49">
        <v>0</v>
      </c>
      <c r="M49" s="1" t="s">
        <v>14</v>
      </c>
      <c r="N49">
        <v>0</v>
      </c>
      <c r="O49" s="1" t="s">
        <v>14</v>
      </c>
      <c r="P49">
        <v>1309.7874999999999</v>
      </c>
      <c r="Q49" s="1" t="s">
        <v>14</v>
      </c>
      <c r="R49">
        <v>765.21250000000009</v>
      </c>
      <c r="S49" s="1" t="s">
        <v>14</v>
      </c>
      <c r="T49">
        <v>153.04250000000002</v>
      </c>
      <c r="U49" s="1" t="s">
        <v>14</v>
      </c>
      <c r="V49">
        <v>58.422644894687124</v>
      </c>
      <c r="W49" s="1" t="s">
        <v>14</v>
      </c>
      <c r="X49">
        <v>5239.1499999999996</v>
      </c>
      <c r="Y49" s="1" t="s">
        <v>12</v>
      </c>
      <c r="Z49" s="1" t="str">
        <f t="shared" si="0"/>
        <v>&lt;tr&gt; &lt;td&gt;7429240&lt;/td&gt;&lt;td&gt;SERVO SUPERMILE 10W-30-4 X 5 L PROMO&lt;/td&gt;&lt;td&gt;2075&lt;/td&gt;&lt;td&gt;1374.6875&lt;/td&gt;&lt;td&gt;11&lt;/td&gt;&lt;td&gt;0&lt;/td&gt;&lt;td&gt;0&lt;/td&gt;&lt;td&gt;1309.7875&lt;/td&gt;&lt;td&gt;765.2125&lt;/td&gt;&lt;td&gt;153.0425&lt;/td&gt;&lt;td&gt;58.4226448946871&lt;/td&gt;&lt;td&gt;5239.15&lt;/td&gt;&lt;/tr&gt;</v>
      </c>
    </row>
    <row r="50" spans="1:26" x14ac:dyDescent="0.3">
      <c r="A50" s="1" t="s">
        <v>13</v>
      </c>
      <c r="B50">
        <v>7429244</v>
      </c>
      <c r="C50" s="1" t="s">
        <v>14</v>
      </c>
      <c r="D50" t="s">
        <v>147</v>
      </c>
      <c r="E50" s="1" t="s">
        <v>14</v>
      </c>
      <c r="F50">
        <v>2290</v>
      </c>
      <c r="G50" s="1" t="s">
        <v>14</v>
      </c>
      <c r="H50">
        <v>1570.0239999999999</v>
      </c>
      <c r="I50" s="1" t="s">
        <v>14</v>
      </c>
      <c r="J50">
        <v>0</v>
      </c>
      <c r="K50" s="1" t="s">
        <v>14</v>
      </c>
      <c r="L50">
        <v>0</v>
      </c>
      <c r="M50" s="1" t="s">
        <v>14</v>
      </c>
      <c r="N50">
        <v>0</v>
      </c>
      <c r="O50" s="1" t="s">
        <v>14</v>
      </c>
      <c r="P50">
        <v>1570.0239999999999</v>
      </c>
      <c r="Q50" s="1" t="s">
        <v>14</v>
      </c>
      <c r="R50">
        <v>719.97600000000011</v>
      </c>
      <c r="S50" s="1" t="s">
        <v>14</v>
      </c>
      <c r="T50">
        <v>119.99600000000004</v>
      </c>
      <c r="U50" s="1" t="s">
        <v>14</v>
      </c>
      <c r="V50">
        <v>45.857642940490088</v>
      </c>
      <c r="W50" s="1" t="s">
        <v>14</v>
      </c>
      <c r="X50">
        <v>6280.0959999999995</v>
      </c>
      <c r="Y50" s="1" t="s">
        <v>12</v>
      </c>
      <c r="Z50" s="1" t="str">
        <f t="shared" si="0"/>
        <v>&lt;tr&gt; &lt;td&gt;7429244&lt;/td&gt;&lt;td&gt;SERVO SUPERMILE 10W-30-4 X 6 L&lt;/td&gt;&lt;td&gt;2290&lt;/td&gt;&lt;td&gt;1570.024&lt;/td&gt;&lt;td&gt;0&lt;/td&gt;&lt;td&gt;0&lt;/td&gt;&lt;td&gt;0&lt;/td&gt;&lt;td&gt;1570.024&lt;/td&gt;&lt;td&gt;719.976&lt;/td&gt;&lt;td&gt;119.996&lt;/td&gt;&lt;td&gt;45.8576429404901&lt;/td&gt;&lt;td&gt;6280.096&lt;/td&gt;&lt;/tr&gt;</v>
      </c>
    </row>
    <row r="51" spans="1:26" x14ac:dyDescent="0.3">
      <c r="A51" s="1" t="s">
        <v>13</v>
      </c>
      <c r="B51">
        <v>7429297</v>
      </c>
      <c r="C51" s="1" t="s">
        <v>14</v>
      </c>
      <c r="D51" t="s">
        <v>148</v>
      </c>
      <c r="E51" s="1" t="s">
        <v>14</v>
      </c>
      <c r="F51">
        <v>2805</v>
      </c>
      <c r="G51" s="1" t="s">
        <v>14</v>
      </c>
      <c r="H51">
        <v>1900.3875</v>
      </c>
      <c r="I51" s="1" t="s">
        <v>14</v>
      </c>
      <c r="J51">
        <v>11</v>
      </c>
      <c r="K51" s="1" t="s">
        <v>14</v>
      </c>
      <c r="L51">
        <v>0</v>
      </c>
      <c r="M51" s="1" t="s">
        <v>14</v>
      </c>
      <c r="N51">
        <v>0</v>
      </c>
      <c r="O51" s="1" t="s">
        <v>14</v>
      </c>
      <c r="P51">
        <v>1809.5275000000001</v>
      </c>
      <c r="Q51" s="1" t="s">
        <v>14</v>
      </c>
      <c r="R51">
        <v>995.47249999999985</v>
      </c>
      <c r="S51" s="1" t="s">
        <v>14</v>
      </c>
      <c r="T51">
        <v>142.21035714285711</v>
      </c>
      <c r="U51" s="1" t="s">
        <v>14</v>
      </c>
      <c r="V51">
        <v>55.012841750125361</v>
      </c>
      <c r="W51" s="1" t="s">
        <v>14</v>
      </c>
      <c r="X51">
        <v>1809.5275000000001</v>
      </c>
      <c r="Y51" s="1" t="s">
        <v>12</v>
      </c>
      <c r="Z51" s="1" t="str">
        <f t="shared" si="0"/>
        <v>&lt;tr&gt; &lt;td&gt;7429297&lt;/td&gt;&lt;td&gt;SERVO SUPERMILE 10W-30-7 L PROMO&lt;/td&gt;&lt;td&gt;2805&lt;/td&gt;&lt;td&gt;1900.3875&lt;/td&gt;&lt;td&gt;11&lt;/td&gt;&lt;td&gt;0&lt;/td&gt;&lt;td&gt;0&lt;/td&gt;&lt;td&gt;1809.5275&lt;/td&gt;&lt;td&gt;995.4725&lt;/td&gt;&lt;td&gt;142.210357142857&lt;/td&gt;&lt;td&gt;55.0128417501254&lt;/td&gt;&lt;td&gt;1809.5275&lt;/td&gt;&lt;/tr&gt;</v>
      </c>
    </row>
    <row r="52" spans="1:26" x14ac:dyDescent="0.3">
      <c r="A52" s="1" t="s">
        <v>13</v>
      </c>
      <c r="B52">
        <v>7430184</v>
      </c>
      <c r="C52" s="1" t="s">
        <v>14</v>
      </c>
      <c r="D52" t="s">
        <v>149</v>
      </c>
      <c r="E52" s="1" t="s">
        <v>14</v>
      </c>
      <c r="F52">
        <v>440</v>
      </c>
      <c r="G52" s="1" t="s">
        <v>14</v>
      </c>
      <c r="H52">
        <v>300.56400000000002</v>
      </c>
      <c r="I52" s="1" t="s">
        <v>14</v>
      </c>
      <c r="J52">
        <v>21</v>
      </c>
      <c r="K52" s="1" t="s">
        <v>14</v>
      </c>
      <c r="L52">
        <v>0</v>
      </c>
      <c r="M52" s="1" t="s">
        <v>14</v>
      </c>
      <c r="N52">
        <v>0</v>
      </c>
      <c r="O52" s="1" t="s">
        <v>14</v>
      </c>
      <c r="P52">
        <v>275.78400000000005</v>
      </c>
      <c r="Q52" s="1" t="s">
        <v>14</v>
      </c>
      <c r="R52">
        <v>164.21599999999995</v>
      </c>
      <c r="S52" s="1" t="s">
        <v>14</v>
      </c>
      <c r="T52">
        <v>164.21599999999995</v>
      </c>
      <c r="U52" s="1" t="s">
        <v>14</v>
      </c>
      <c r="V52">
        <v>59.545151277811591</v>
      </c>
      <c r="W52" s="1" t="s">
        <v>14</v>
      </c>
      <c r="X52">
        <v>5515.6800000000048</v>
      </c>
      <c r="Y52" s="1" t="s">
        <v>12</v>
      </c>
      <c r="Z52" s="1" t="str">
        <f t="shared" si="0"/>
        <v>&lt;tr&gt; &lt;td&gt;7430184&lt;/td&gt;&lt;td&gt;SERVO SUPERMILE PLUS 5W-30-20 X 1 L&lt;/td&gt;&lt;td&gt;440&lt;/td&gt;&lt;td&gt;300.564&lt;/td&gt;&lt;td&gt;21&lt;/td&gt;&lt;td&gt;0&lt;/td&gt;&lt;td&gt;0&lt;/td&gt;&lt;td&gt;275.784&lt;/td&gt;&lt;td&gt;164.216&lt;/td&gt;&lt;td&gt;164.216&lt;/td&gt;&lt;td&gt;59.5451512778116&lt;/td&gt;&lt;td&gt;5515.68&lt;/td&gt;&lt;/tr&gt;</v>
      </c>
    </row>
    <row r="53" spans="1:26" x14ac:dyDescent="0.3">
      <c r="A53" s="1" t="s">
        <v>13</v>
      </c>
      <c r="B53">
        <v>7430234</v>
      </c>
      <c r="C53" s="1" t="s">
        <v>14</v>
      </c>
      <c r="D53" t="s">
        <v>150</v>
      </c>
      <c r="E53" s="1" t="s">
        <v>14</v>
      </c>
      <c r="F53">
        <v>2175</v>
      </c>
      <c r="G53" s="1" t="s">
        <v>14</v>
      </c>
      <c r="H53">
        <v>1492.7025000000001</v>
      </c>
      <c r="I53" s="1" t="s">
        <v>14</v>
      </c>
      <c r="J53">
        <v>38</v>
      </c>
      <c r="K53" s="1" t="s">
        <v>14</v>
      </c>
      <c r="L53">
        <v>0</v>
      </c>
      <c r="M53" s="1" t="s">
        <v>14</v>
      </c>
      <c r="N53">
        <v>0</v>
      </c>
      <c r="O53" s="1" t="s">
        <v>14</v>
      </c>
      <c r="P53">
        <v>1268.5025000000001</v>
      </c>
      <c r="Q53" s="1" t="s">
        <v>14</v>
      </c>
      <c r="R53">
        <v>906.49749999999995</v>
      </c>
      <c r="S53" s="1" t="s">
        <v>14</v>
      </c>
      <c r="T53">
        <v>181.29949999999999</v>
      </c>
      <c r="U53" s="1" t="s">
        <v>14</v>
      </c>
      <c r="V53">
        <v>71.462019191921172</v>
      </c>
      <c r="W53" s="1" t="s">
        <v>14</v>
      </c>
      <c r="X53">
        <v>5074.0100000000039</v>
      </c>
      <c r="Y53" s="1" t="s">
        <v>12</v>
      </c>
      <c r="Z53" s="1" t="str">
        <f t="shared" si="0"/>
        <v>&lt;tr&gt; &lt;td&gt;7430234&lt;/td&gt;&lt;td&gt;SERVO SUPERMILE PLUS 5W-30-4 X 5 L&lt;/td&gt;&lt;td&gt;2175&lt;/td&gt;&lt;td&gt;1492.7025&lt;/td&gt;&lt;td&gt;38&lt;/td&gt;&lt;td&gt;0&lt;/td&gt;&lt;td&gt;0&lt;/td&gt;&lt;td&gt;1268.5025&lt;/td&gt;&lt;td&gt;906.4975&lt;/td&gt;&lt;td&gt;181.2995&lt;/td&gt;&lt;td&gt;71.4620191919212&lt;/td&gt;&lt;td&gt;5074.01&lt;/td&gt;&lt;/tr&gt;</v>
      </c>
    </row>
    <row r="54" spans="1:26" x14ac:dyDescent="0.3">
      <c r="A54" s="1" t="s">
        <v>13</v>
      </c>
      <c r="B54">
        <v>7430240</v>
      </c>
      <c r="C54" s="1" t="s">
        <v>14</v>
      </c>
      <c r="D54" t="s">
        <v>151</v>
      </c>
      <c r="E54" s="1" t="s">
        <v>14</v>
      </c>
      <c r="F54">
        <v>2175</v>
      </c>
      <c r="G54" s="1" t="s">
        <v>14</v>
      </c>
      <c r="H54">
        <v>1492.7025000000001</v>
      </c>
      <c r="I54" s="1" t="s">
        <v>14</v>
      </c>
      <c r="J54">
        <v>33</v>
      </c>
      <c r="K54" s="1" t="s">
        <v>14</v>
      </c>
      <c r="L54">
        <v>0</v>
      </c>
      <c r="M54" s="1" t="s">
        <v>14</v>
      </c>
      <c r="N54">
        <v>0</v>
      </c>
      <c r="O54" s="1" t="s">
        <v>14</v>
      </c>
      <c r="P54">
        <v>1298.0025000000001</v>
      </c>
      <c r="Q54" s="1" t="s">
        <v>14</v>
      </c>
      <c r="R54">
        <v>876.99749999999995</v>
      </c>
      <c r="S54" s="1" t="s">
        <v>14</v>
      </c>
      <c r="T54">
        <v>175.39949999999999</v>
      </c>
      <c r="U54" s="1" t="s">
        <v>14</v>
      </c>
      <c r="V54">
        <v>67.565162624879378</v>
      </c>
      <c r="W54" s="1" t="s">
        <v>14</v>
      </c>
      <c r="X54">
        <v>5192.01</v>
      </c>
      <c r="Y54" s="1" t="s">
        <v>12</v>
      </c>
      <c r="Z54" s="1" t="str">
        <f t="shared" si="0"/>
        <v>&lt;tr&gt; &lt;td&gt;7430240&lt;/td&gt;&lt;td&gt;SERVO SUPERMILE PLUS 5W-30-4 X 5 L PROMO&lt;/td&gt;&lt;td&gt;2175&lt;/td&gt;&lt;td&gt;1492.7025&lt;/td&gt;&lt;td&gt;33&lt;/td&gt;&lt;td&gt;0&lt;/td&gt;&lt;td&gt;0&lt;/td&gt;&lt;td&gt;1298.0025&lt;/td&gt;&lt;td&gt;876.9975&lt;/td&gt;&lt;td&gt;175.3995&lt;/td&gt;&lt;td&gt;67.5651626248794&lt;/td&gt;&lt;td&gt;5192.01&lt;/td&gt;&lt;/tr&gt;</v>
      </c>
    </row>
    <row r="55" spans="1:26" x14ac:dyDescent="0.3">
      <c r="A55" s="1" t="s">
        <v>13</v>
      </c>
      <c r="B55">
        <v>7430296</v>
      </c>
      <c r="C55" s="1" t="s">
        <v>14</v>
      </c>
      <c r="D55" t="s">
        <v>152</v>
      </c>
      <c r="E55" s="1" t="s">
        <v>14</v>
      </c>
      <c r="F55">
        <v>3005</v>
      </c>
      <c r="G55" s="1" t="s">
        <v>14</v>
      </c>
      <c r="H55">
        <v>2051.8139999999999</v>
      </c>
      <c r="I55" s="1" t="s">
        <v>14</v>
      </c>
      <c r="J55">
        <v>42</v>
      </c>
      <c r="K55" s="1" t="s">
        <v>14</v>
      </c>
      <c r="L55">
        <v>0</v>
      </c>
      <c r="M55" s="1" t="s">
        <v>14</v>
      </c>
      <c r="N55">
        <v>0</v>
      </c>
      <c r="O55" s="1" t="s">
        <v>14</v>
      </c>
      <c r="P55">
        <v>1704.894</v>
      </c>
      <c r="Q55" s="1" t="s">
        <v>14</v>
      </c>
      <c r="R55">
        <v>1300.106</v>
      </c>
      <c r="S55" s="1" t="s">
        <v>14</v>
      </c>
      <c r="T55">
        <v>185.72942857142857</v>
      </c>
      <c r="U55" s="1" t="s">
        <v>14</v>
      </c>
      <c r="V55">
        <v>76.257292242215641</v>
      </c>
      <c r="W55" s="1" t="s">
        <v>14</v>
      </c>
      <c r="X55">
        <v>1704.894</v>
      </c>
      <c r="Y55" s="1" t="s">
        <v>12</v>
      </c>
      <c r="Z55" s="1" t="str">
        <f t="shared" si="0"/>
        <v>&lt;tr&gt; &lt;td&gt;7430296&lt;/td&gt;&lt;td&gt;SERVO SUPERMILE PLUS 5W-30-7L&lt;/td&gt;&lt;td&gt;3005&lt;/td&gt;&lt;td&gt;2051.814&lt;/td&gt;&lt;td&gt;42&lt;/td&gt;&lt;td&gt;0&lt;/td&gt;&lt;td&gt;0&lt;/td&gt;&lt;td&gt;1704.894&lt;/td&gt;&lt;td&gt;1300.106&lt;/td&gt;&lt;td&gt;185.729428571429&lt;/td&gt;&lt;td&gt;76.2572922422156&lt;/td&gt;&lt;td&gt;1704.894&lt;/td&gt;&lt;/tr&gt;</v>
      </c>
    </row>
    <row r="56" spans="1:26" x14ac:dyDescent="0.3">
      <c r="A56" s="1" t="s">
        <v>13</v>
      </c>
      <c r="B56">
        <v>7430297</v>
      </c>
      <c r="C56" s="1" t="s">
        <v>14</v>
      </c>
      <c r="D56" t="s">
        <v>153</v>
      </c>
      <c r="E56" s="1" t="s">
        <v>14</v>
      </c>
      <c r="F56">
        <v>3005</v>
      </c>
      <c r="G56" s="1" t="s">
        <v>14</v>
      </c>
      <c r="H56">
        <v>2051.8139999999999</v>
      </c>
      <c r="I56" s="1" t="s">
        <v>14</v>
      </c>
      <c r="J56">
        <v>37</v>
      </c>
      <c r="K56" s="1" t="s">
        <v>14</v>
      </c>
      <c r="L56">
        <v>0</v>
      </c>
      <c r="M56" s="1" t="s">
        <v>14</v>
      </c>
      <c r="N56">
        <v>0</v>
      </c>
      <c r="O56" s="1" t="s">
        <v>14</v>
      </c>
      <c r="P56">
        <v>1746.194</v>
      </c>
      <c r="Q56" s="1" t="s">
        <v>14</v>
      </c>
      <c r="R56">
        <v>1258.806</v>
      </c>
      <c r="S56" s="1" t="s">
        <v>14</v>
      </c>
      <c r="T56">
        <v>179.82942857142856</v>
      </c>
      <c r="U56" s="1" t="s">
        <v>14</v>
      </c>
      <c r="V56">
        <v>72.088553734579321</v>
      </c>
      <c r="W56" s="1" t="s">
        <v>14</v>
      </c>
      <c r="X56">
        <v>1746.194</v>
      </c>
      <c r="Y56" s="1" t="s">
        <v>12</v>
      </c>
      <c r="Z56" s="1" t="str">
        <f t="shared" si="0"/>
        <v>&lt;tr&gt; &lt;td&gt;7430297&lt;/td&gt;&lt;td&gt;SERVO SUPERMILE PLUS 5W-30-7 L PROMO&lt;/td&gt;&lt;td&gt;3005&lt;/td&gt;&lt;td&gt;2051.814&lt;/td&gt;&lt;td&gt;37&lt;/td&gt;&lt;td&gt;0&lt;/td&gt;&lt;td&gt;0&lt;/td&gt;&lt;td&gt;1746.194&lt;/td&gt;&lt;td&gt;1258.806&lt;/td&gt;&lt;td&gt;179.829428571429&lt;/td&gt;&lt;td&gt;72.0885537345793&lt;/td&gt;&lt;td&gt;1746.194&lt;/td&gt;&lt;/tr&gt;</v>
      </c>
    </row>
    <row r="57" spans="1:26" x14ac:dyDescent="0.3">
      <c r="A57" s="1" t="s">
        <v>13</v>
      </c>
      <c r="B57">
        <v>7434256</v>
      </c>
      <c r="C57" s="1" t="s">
        <v>14</v>
      </c>
      <c r="D57" t="s">
        <v>154</v>
      </c>
      <c r="E57" s="1" t="s">
        <v>14</v>
      </c>
      <c r="F57">
        <v>6175</v>
      </c>
      <c r="G57" s="1" t="s">
        <v>14</v>
      </c>
      <c r="H57">
        <v>4521.9525000000003</v>
      </c>
      <c r="I57" s="1" t="s">
        <v>14</v>
      </c>
      <c r="J57">
        <v>46</v>
      </c>
      <c r="K57" s="1" t="s">
        <v>14</v>
      </c>
      <c r="L57">
        <v>0</v>
      </c>
      <c r="M57" s="1" t="s">
        <v>14</v>
      </c>
      <c r="N57">
        <v>0</v>
      </c>
      <c r="O57" s="1" t="s">
        <v>14</v>
      </c>
      <c r="P57">
        <v>3707.7525000000005</v>
      </c>
      <c r="Q57" s="1" t="s">
        <v>14</v>
      </c>
      <c r="R57">
        <v>2467.2474999999995</v>
      </c>
      <c r="S57" s="1" t="s">
        <v>14</v>
      </c>
      <c r="T57">
        <v>164.48316666666665</v>
      </c>
      <c r="U57" s="1" t="s">
        <v>14</v>
      </c>
      <c r="V57">
        <v>66.542939422197108</v>
      </c>
      <c r="W57" s="1" t="s">
        <v>14</v>
      </c>
      <c r="X57">
        <v>3707.7525000000028</v>
      </c>
      <c r="Y57" s="1" t="s">
        <v>12</v>
      </c>
      <c r="Z57" s="1" t="str">
        <f t="shared" si="0"/>
        <v>&lt;tr&gt; &lt;td&gt;7434256&lt;/td&gt;&lt;td&gt;SERVO PRIDE NXT CK4 10W-30-15 L&lt;/td&gt;&lt;td&gt;6175&lt;/td&gt;&lt;td&gt;4521.9525&lt;/td&gt;&lt;td&gt;46&lt;/td&gt;&lt;td&gt;0&lt;/td&gt;&lt;td&gt;0&lt;/td&gt;&lt;td&gt;3707.7525&lt;/td&gt;&lt;td&gt;2467.2475&lt;/td&gt;&lt;td&gt;164.483166666667&lt;/td&gt;&lt;td&gt;66.5429394221971&lt;/td&gt;&lt;td&gt;3707.7525&lt;/td&gt;&lt;/tr&gt;</v>
      </c>
    </row>
    <row r="58" spans="1:26" x14ac:dyDescent="0.3">
      <c r="A58" s="1" t="s">
        <v>13</v>
      </c>
      <c r="B58">
        <v>7436184</v>
      </c>
      <c r="C58" s="1" t="s">
        <v>14</v>
      </c>
      <c r="D58" t="s">
        <v>155</v>
      </c>
      <c r="E58" s="1" t="s">
        <v>14</v>
      </c>
      <c r="F58">
        <v>425</v>
      </c>
      <c r="G58" s="1" t="s">
        <v>14</v>
      </c>
      <c r="H58">
        <v>312.07750000000004</v>
      </c>
      <c r="I58" s="1" t="s">
        <v>14</v>
      </c>
      <c r="J58">
        <v>36</v>
      </c>
      <c r="K58" s="1" t="s">
        <v>14</v>
      </c>
      <c r="L58">
        <v>0</v>
      </c>
      <c r="M58" s="1" t="s">
        <v>14</v>
      </c>
      <c r="N58">
        <v>0</v>
      </c>
      <c r="O58" s="1" t="s">
        <v>14</v>
      </c>
      <c r="P58">
        <v>269.59750000000003</v>
      </c>
      <c r="Q58" s="1" t="s">
        <v>14</v>
      </c>
      <c r="R58">
        <v>155.40249999999997</v>
      </c>
      <c r="S58" s="1" t="s">
        <v>14</v>
      </c>
      <c r="T58">
        <v>155.40249999999997</v>
      </c>
      <c r="U58" s="1" t="s">
        <v>14</v>
      </c>
      <c r="V58">
        <v>57.642411372509002</v>
      </c>
      <c r="W58" s="1" t="s">
        <v>14</v>
      </c>
      <c r="X58">
        <v>5391.9500000000044</v>
      </c>
      <c r="Y58" s="1" t="s">
        <v>12</v>
      </c>
      <c r="Z58" s="1" t="str">
        <f t="shared" si="0"/>
        <v>&lt;tr&gt; &lt;td&gt;7436184&lt;/td&gt;&lt;td&gt;SERVO PRIDE NXT CK4 15W-40-20 X 1 L&lt;/td&gt;&lt;td&gt;425&lt;/td&gt;&lt;td&gt;312.0775&lt;/td&gt;&lt;td&gt;36&lt;/td&gt;&lt;td&gt;0&lt;/td&gt;&lt;td&gt;0&lt;/td&gt;&lt;td&gt;269.5975&lt;/td&gt;&lt;td&gt;155.4025&lt;/td&gt;&lt;td&gt;155.4025&lt;/td&gt;&lt;td&gt;57.642411372509&lt;/td&gt;&lt;td&gt;5391.95&lt;/td&gt;&lt;/tr&gt;</v>
      </c>
    </row>
    <row r="59" spans="1:26" x14ac:dyDescent="0.3">
      <c r="A59" s="1" t="s">
        <v>13</v>
      </c>
      <c r="B59">
        <v>7436229</v>
      </c>
      <c r="C59" s="1" t="s">
        <v>14</v>
      </c>
      <c r="D59" t="s">
        <v>156</v>
      </c>
      <c r="E59" s="1" t="s">
        <v>14</v>
      </c>
      <c r="F59">
        <v>425</v>
      </c>
      <c r="G59" s="1" t="s">
        <v>14</v>
      </c>
      <c r="H59">
        <v>312.07750000000004</v>
      </c>
      <c r="I59" s="1" t="s">
        <v>14</v>
      </c>
      <c r="J59">
        <v>28</v>
      </c>
      <c r="K59" s="1" t="s">
        <v>14</v>
      </c>
      <c r="L59">
        <v>0</v>
      </c>
      <c r="M59" s="1" t="s">
        <v>14</v>
      </c>
      <c r="N59">
        <v>0</v>
      </c>
      <c r="O59" s="1" t="s">
        <v>14</v>
      </c>
      <c r="P59">
        <v>279.03750000000002</v>
      </c>
      <c r="Q59" s="1" t="s">
        <v>14</v>
      </c>
      <c r="R59">
        <v>145.96249999999998</v>
      </c>
      <c r="S59" s="1" t="s">
        <v>14</v>
      </c>
      <c r="T59">
        <v>145.96249999999998</v>
      </c>
      <c r="U59" s="1" t="s">
        <v>14</v>
      </c>
      <c r="V59">
        <v>52.309277426869137</v>
      </c>
      <c r="W59" s="1" t="s">
        <v>14</v>
      </c>
      <c r="X59">
        <v>5580.75</v>
      </c>
      <c r="Y59" s="1" t="s">
        <v>12</v>
      </c>
      <c r="Z59" s="1" t="str">
        <f t="shared" si="0"/>
        <v>&lt;tr&gt; &lt;td&gt;7436229&lt;/td&gt;&lt;td&gt;SERVO PRIDENXT 15W40-20 X 1 L PROMO&lt;/td&gt;&lt;td&gt;425&lt;/td&gt;&lt;td&gt;312.0775&lt;/td&gt;&lt;td&gt;28&lt;/td&gt;&lt;td&gt;0&lt;/td&gt;&lt;td&gt;0&lt;/td&gt;&lt;td&gt;279.0375&lt;/td&gt;&lt;td&gt;145.9625&lt;/td&gt;&lt;td&gt;145.9625&lt;/td&gt;&lt;td&gt;52.3092774268691&lt;/td&gt;&lt;td&gt;5580.75&lt;/td&gt;&lt;/tr&gt;</v>
      </c>
    </row>
    <row r="60" spans="1:26" x14ac:dyDescent="0.3">
      <c r="A60" s="1" t="s">
        <v>13</v>
      </c>
      <c r="B60">
        <v>7436250</v>
      </c>
      <c r="C60" s="1" t="s">
        <v>14</v>
      </c>
      <c r="D60" t="s">
        <v>157</v>
      </c>
      <c r="E60" s="1" t="s">
        <v>14</v>
      </c>
      <c r="F60">
        <v>3113</v>
      </c>
      <c r="G60" s="1" t="s">
        <v>14</v>
      </c>
      <c r="H60">
        <v>2292.4132</v>
      </c>
      <c r="I60" s="1" t="s">
        <v>14</v>
      </c>
      <c r="J60">
        <v>41</v>
      </c>
      <c r="K60" s="1" t="s">
        <v>14</v>
      </c>
      <c r="L60">
        <v>0</v>
      </c>
      <c r="M60" s="1" t="s">
        <v>14</v>
      </c>
      <c r="N60">
        <v>0</v>
      </c>
      <c r="O60" s="1" t="s">
        <v>14</v>
      </c>
      <c r="P60">
        <v>1929.5632000000001</v>
      </c>
      <c r="Q60" s="1" t="s">
        <v>14</v>
      </c>
      <c r="R60">
        <v>1183.4367999999999</v>
      </c>
      <c r="S60" s="1" t="s">
        <v>14</v>
      </c>
      <c r="T60">
        <v>157.7915733333333</v>
      </c>
      <c r="U60" s="1" t="s">
        <v>14</v>
      </c>
      <c r="V60">
        <v>61.331849612388957</v>
      </c>
      <c r="W60" s="1" t="s">
        <v>14</v>
      </c>
      <c r="X60">
        <v>1929.5632000000001</v>
      </c>
      <c r="Y60" s="1" t="s">
        <v>12</v>
      </c>
      <c r="Z60" s="1" t="str">
        <f t="shared" si="0"/>
        <v>&lt;tr&gt; &lt;td&gt;7436250&lt;/td&gt;&lt;td&gt;SERVO PRIDE NXT CK4 15W-40-7.5 L PROMO&lt;/td&gt;&lt;td&gt;3113&lt;/td&gt;&lt;td&gt;2292.4132&lt;/td&gt;&lt;td&gt;41&lt;/td&gt;&lt;td&gt;0&lt;/td&gt;&lt;td&gt;0&lt;/td&gt;&lt;td&gt;1929.5632&lt;/td&gt;&lt;td&gt;1183.4368&lt;/td&gt;&lt;td&gt;157.791573333333&lt;/td&gt;&lt;td&gt;61.331849612389&lt;/td&gt;&lt;td&gt;1929.5632&lt;/td&gt;&lt;/tr&gt;</v>
      </c>
    </row>
    <row r="61" spans="1:26" x14ac:dyDescent="0.3">
      <c r="A61" s="1" t="s">
        <v>13</v>
      </c>
      <c r="B61">
        <v>7436253</v>
      </c>
      <c r="C61" s="1" t="s">
        <v>14</v>
      </c>
      <c r="D61" t="s">
        <v>158</v>
      </c>
      <c r="E61" s="1" t="s">
        <v>14</v>
      </c>
      <c r="F61">
        <v>6175</v>
      </c>
      <c r="G61" s="1" t="s">
        <v>14</v>
      </c>
      <c r="H61">
        <v>4521.9525000000003</v>
      </c>
      <c r="I61" s="1" t="s">
        <v>14</v>
      </c>
      <c r="J61">
        <v>41</v>
      </c>
      <c r="K61" s="1" t="s">
        <v>14</v>
      </c>
      <c r="L61">
        <v>0</v>
      </c>
      <c r="M61" s="1" t="s">
        <v>14</v>
      </c>
      <c r="N61">
        <v>0</v>
      </c>
      <c r="O61" s="1" t="s">
        <v>14</v>
      </c>
      <c r="P61">
        <v>3796.2525000000005</v>
      </c>
      <c r="Q61" s="1" t="s">
        <v>14</v>
      </c>
      <c r="R61">
        <v>2378.7474999999995</v>
      </c>
      <c r="S61" s="1" t="s">
        <v>14</v>
      </c>
      <c r="T61">
        <v>158.58316666666664</v>
      </c>
      <c r="U61" s="1" t="s">
        <v>14</v>
      </c>
      <c r="V61">
        <v>62.660413131107561</v>
      </c>
      <c r="W61" s="1" t="s">
        <v>14</v>
      </c>
      <c r="X61">
        <v>3796.2525000000005</v>
      </c>
      <c r="Y61" s="1" t="s">
        <v>12</v>
      </c>
      <c r="Z61" s="1" t="str">
        <f t="shared" si="0"/>
        <v>&lt;tr&gt; &lt;td&gt;7436253&lt;/td&gt;&lt;td&gt;SERVO PRIDE NXT CK4 15W-40-15 L PROMO&lt;/td&gt;&lt;td&gt;6175&lt;/td&gt;&lt;td&gt;4521.9525&lt;/td&gt;&lt;td&gt;41&lt;/td&gt;&lt;td&gt;0&lt;/td&gt;&lt;td&gt;0&lt;/td&gt;&lt;td&gt;3796.2525&lt;/td&gt;&lt;td&gt;2378.7475&lt;/td&gt;&lt;td&gt;158.583166666667&lt;/td&gt;&lt;td&gt;62.6604131311076&lt;/td&gt;&lt;td&gt;3796.2525&lt;/td&gt;&lt;/tr&gt;</v>
      </c>
    </row>
    <row r="62" spans="1:26" x14ac:dyDescent="0.3">
      <c r="A62" s="1" t="s">
        <v>13</v>
      </c>
      <c r="B62">
        <v>7470184</v>
      </c>
      <c r="C62" s="1" t="s">
        <v>14</v>
      </c>
      <c r="D62" t="s">
        <v>159</v>
      </c>
      <c r="E62" s="1" t="s">
        <v>14</v>
      </c>
      <c r="F62">
        <v>335</v>
      </c>
      <c r="G62" s="1" t="s">
        <v>14</v>
      </c>
      <c r="H62">
        <v>245.18649999999997</v>
      </c>
      <c r="I62" s="1" t="s">
        <v>14</v>
      </c>
      <c r="J62">
        <v>10</v>
      </c>
      <c r="K62" s="1" t="s">
        <v>14</v>
      </c>
      <c r="L62">
        <v>0</v>
      </c>
      <c r="M62" s="1" t="s">
        <v>14</v>
      </c>
      <c r="N62">
        <v>0</v>
      </c>
      <c r="O62" s="1" t="s">
        <v>14</v>
      </c>
      <c r="P62">
        <v>233.38649999999998</v>
      </c>
      <c r="Q62" s="1" t="s">
        <v>14</v>
      </c>
      <c r="R62">
        <v>101.61350000000002</v>
      </c>
      <c r="S62" s="1" t="s">
        <v>14</v>
      </c>
      <c r="T62">
        <v>101.61350000000002</v>
      </c>
      <c r="U62" s="1" t="s">
        <v>14</v>
      </c>
      <c r="V62">
        <v>43.538722248287719</v>
      </c>
      <c r="W62" s="1" t="s">
        <v>14</v>
      </c>
      <c r="X62">
        <v>4667.7300000000032</v>
      </c>
      <c r="Y62" s="1" t="s">
        <v>12</v>
      </c>
      <c r="Z62" s="1" t="str">
        <f t="shared" si="0"/>
        <v>&lt;tr&gt; &lt;td&gt;7470184&lt;/td&gt;&lt;td&gt;S FLEET SUPREME CI4PLUS 15W-40-20 X 1 L&lt;/td&gt;&lt;td&gt;335&lt;/td&gt;&lt;td&gt;245.1865&lt;/td&gt;&lt;td&gt;10&lt;/td&gt;&lt;td&gt;0&lt;/td&gt;&lt;td&gt;0&lt;/td&gt;&lt;td&gt;233.3865&lt;/td&gt;&lt;td&gt;101.6135&lt;/td&gt;&lt;td&gt;101.6135&lt;/td&gt;&lt;td&gt;43.5387222482877&lt;/td&gt;&lt;td&gt;4667.73&lt;/td&gt;&lt;/tr&gt;</v>
      </c>
    </row>
    <row r="63" spans="1:26" x14ac:dyDescent="0.3">
      <c r="A63" s="1" t="s">
        <v>13</v>
      </c>
      <c r="B63">
        <v>7470251</v>
      </c>
      <c r="C63" s="1" t="s">
        <v>14</v>
      </c>
      <c r="D63" t="s">
        <v>160</v>
      </c>
      <c r="E63" s="1" t="s">
        <v>14</v>
      </c>
      <c r="F63">
        <v>2363</v>
      </c>
      <c r="G63" s="1" t="s">
        <v>14</v>
      </c>
      <c r="H63">
        <v>1793.7532999999999</v>
      </c>
      <c r="I63" s="1" t="s">
        <v>14</v>
      </c>
      <c r="J63">
        <v>15</v>
      </c>
      <c r="K63" s="1" t="s">
        <v>14</v>
      </c>
      <c r="L63">
        <v>0</v>
      </c>
      <c r="M63" s="1" t="s">
        <v>14</v>
      </c>
      <c r="N63">
        <v>0</v>
      </c>
      <c r="O63" s="1" t="s">
        <v>14</v>
      </c>
      <c r="P63">
        <v>1661.0032999999999</v>
      </c>
      <c r="Q63" s="1" t="s">
        <v>14</v>
      </c>
      <c r="R63">
        <v>701.99670000000015</v>
      </c>
      <c r="S63" s="1" t="s">
        <v>14</v>
      </c>
      <c r="T63">
        <v>93.599560000000025</v>
      </c>
      <c r="U63" s="1" t="s">
        <v>14</v>
      </c>
      <c r="V63">
        <v>42.263413925788115</v>
      </c>
      <c r="W63" s="1" t="s">
        <v>14</v>
      </c>
      <c r="X63">
        <v>1661.003300000001</v>
      </c>
      <c r="Y63" s="1" t="s">
        <v>12</v>
      </c>
      <c r="Z63" s="1" t="str">
        <f t="shared" si="0"/>
        <v>&lt;tr&gt; &lt;td&gt;7470251&lt;/td&gt;&lt;td&gt;S FLEET SUPREME CI4PLUS 15W-40-7.5 L&lt;/td&gt;&lt;td&gt;2363&lt;/td&gt;&lt;td&gt;1793.7533&lt;/td&gt;&lt;td&gt;15&lt;/td&gt;&lt;td&gt;0&lt;/td&gt;&lt;td&gt;0&lt;/td&gt;&lt;td&gt;1661.0033&lt;/td&gt;&lt;td&gt;701.9967&lt;/td&gt;&lt;td&gt;93.59956&lt;/td&gt;&lt;td&gt;42.2634139257881&lt;/td&gt;&lt;td&gt;1661.0033&lt;/td&gt;&lt;/tr&gt;</v>
      </c>
    </row>
    <row r="64" spans="1:26" x14ac:dyDescent="0.3">
      <c r="A64" s="1" t="s">
        <v>13</v>
      </c>
      <c r="B64">
        <v>7470256</v>
      </c>
      <c r="C64" s="1" t="s">
        <v>14</v>
      </c>
      <c r="D64" t="s">
        <v>161</v>
      </c>
      <c r="E64" s="1" t="s">
        <v>14</v>
      </c>
      <c r="F64">
        <v>4725</v>
      </c>
      <c r="G64" s="1" t="s">
        <v>14</v>
      </c>
      <c r="H64">
        <v>3575.4074999999998</v>
      </c>
      <c r="I64" s="1" t="s">
        <v>14</v>
      </c>
      <c r="J64">
        <v>15</v>
      </c>
      <c r="K64" s="1" t="s">
        <v>14</v>
      </c>
      <c r="L64">
        <v>0</v>
      </c>
      <c r="M64" s="1" t="s">
        <v>14</v>
      </c>
      <c r="N64">
        <v>0</v>
      </c>
      <c r="O64" s="1" t="s">
        <v>14</v>
      </c>
      <c r="P64">
        <v>3309.9074999999998</v>
      </c>
      <c r="Q64" s="1" t="s">
        <v>14</v>
      </c>
      <c r="R64">
        <v>1415.0925000000002</v>
      </c>
      <c r="S64" s="1" t="s">
        <v>14</v>
      </c>
      <c r="T64">
        <v>94.339500000000015</v>
      </c>
      <c r="U64" s="1" t="s">
        <v>14</v>
      </c>
      <c r="V64">
        <v>42.753234040528334</v>
      </c>
      <c r="W64" s="1" t="s">
        <v>14</v>
      </c>
      <c r="X64">
        <v>3309.9075000000021</v>
      </c>
      <c r="Y64" s="1" t="s">
        <v>12</v>
      </c>
      <c r="Z64" s="1" t="str">
        <f t="shared" si="0"/>
        <v>&lt;tr&gt; &lt;td&gt;7470256&lt;/td&gt;&lt;td&gt;SERVO FLEET SUPREME CI4 PLUS 15W-40-15 L&lt;/td&gt;&lt;td&gt;4725&lt;/td&gt;&lt;td&gt;3575.4075&lt;/td&gt;&lt;td&gt;15&lt;/td&gt;&lt;td&gt;0&lt;/td&gt;&lt;td&gt;0&lt;/td&gt;&lt;td&gt;3309.9075&lt;/td&gt;&lt;td&gt;1415.0925&lt;/td&gt;&lt;td&gt;94.3395&lt;/td&gt;&lt;td&gt;42.7532340405283&lt;/td&gt;&lt;td&gt;3309.9075&lt;/td&gt;&lt;/tr&gt;</v>
      </c>
    </row>
    <row r="65" spans="1:26" x14ac:dyDescent="0.3">
      <c r="A65" s="1" t="s">
        <v>13</v>
      </c>
      <c r="B65">
        <v>7472184</v>
      </c>
      <c r="C65" s="1" t="s">
        <v>14</v>
      </c>
      <c r="D65" t="s">
        <v>162</v>
      </c>
      <c r="E65" s="1" t="s">
        <v>14</v>
      </c>
      <c r="F65">
        <v>319</v>
      </c>
      <c r="G65" s="1" t="s">
        <v>14</v>
      </c>
      <c r="H65">
        <v>231.7216</v>
      </c>
      <c r="I65" s="1" t="s">
        <v>14</v>
      </c>
      <c r="J65">
        <v>10</v>
      </c>
      <c r="K65" s="1" t="s">
        <v>14</v>
      </c>
      <c r="L65">
        <v>0</v>
      </c>
      <c r="M65" s="1" t="s">
        <v>14</v>
      </c>
      <c r="N65">
        <v>0</v>
      </c>
      <c r="O65" s="1" t="s">
        <v>14</v>
      </c>
      <c r="P65">
        <v>219.92159999999998</v>
      </c>
      <c r="Q65" s="1" t="s">
        <v>14</v>
      </c>
      <c r="R65">
        <v>99.078400000000016</v>
      </c>
      <c r="S65" s="1" t="s">
        <v>14</v>
      </c>
      <c r="T65">
        <v>99.078400000000016</v>
      </c>
      <c r="U65" s="1" t="s">
        <v>14</v>
      </c>
      <c r="V65">
        <v>45.051691148118252</v>
      </c>
      <c r="W65" s="1" t="s">
        <v>14</v>
      </c>
      <c r="X65">
        <v>4398.4320000000025</v>
      </c>
      <c r="Y65" s="1" t="s">
        <v>12</v>
      </c>
      <c r="Z65" s="1" t="str">
        <f t="shared" si="0"/>
        <v>&lt;tr&gt; &lt;td&gt;7472184&lt;/td&gt;&lt;td&gt;SERVO FLT CF4 15W-40-20 X 1 L&lt;/td&gt;&lt;td&gt;319&lt;/td&gt;&lt;td&gt;231.7216&lt;/td&gt;&lt;td&gt;10&lt;/td&gt;&lt;td&gt;0&lt;/td&gt;&lt;td&gt;0&lt;/td&gt;&lt;td&gt;219.9216&lt;/td&gt;&lt;td&gt;99.0784&lt;/td&gt;&lt;td&gt;99.0784&lt;/td&gt;&lt;td&gt;45.0516911481183&lt;/td&gt;&lt;td&gt;4398.432&lt;/td&gt;&lt;/tr&gt;</v>
      </c>
    </row>
    <row r="66" spans="1:26" x14ac:dyDescent="0.3">
      <c r="A66" s="1" t="s">
        <v>13</v>
      </c>
      <c r="B66">
        <v>7472203</v>
      </c>
      <c r="C66" s="1" t="s">
        <v>14</v>
      </c>
      <c r="D66" t="s">
        <v>163</v>
      </c>
      <c r="E66" s="1" t="s">
        <v>14</v>
      </c>
      <c r="F66">
        <v>930</v>
      </c>
      <c r="G66" s="1" t="s">
        <v>14</v>
      </c>
      <c r="H66">
        <v>683.55</v>
      </c>
      <c r="I66" s="1" t="s">
        <v>14</v>
      </c>
      <c r="J66">
        <v>10</v>
      </c>
      <c r="K66" s="1" t="s">
        <v>14</v>
      </c>
      <c r="L66">
        <v>0</v>
      </c>
      <c r="M66" s="1" t="s">
        <v>14</v>
      </c>
      <c r="N66">
        <v>0</v>
      </c>
      <c r="O66" s="1" t="s">
        <v>14</v>
      </c>
      <c r="P66">
        <v>648.15</v>
      </c>
      <c r="Q66" s="1" t="s">
        <v>14</v>
      </c>
      <c r="R66">
        <v>281.85000000000002</v>
      </c>
      <c r="S66" s="1" t="s">
        <v>14</v>
      </c>
      <c r="T66">
        <v>93.950000000000017</v>
      </c>
      <c r="U66" s="1" t="s">
        <v>14</v>
      </c>
      <c r="V66">
        <v>43.485304327701925</v>
      </c>
      <c r="W66" s="1" t="s">
        <v>14</v>
      </c>
      <c r="X66">
        <v>2592.6000000000013</v>
      </c>
      <c r="Y66" s="1" t="s">
        <v>12</v>
      </c>
      <c r="Z66" s="1" t="str">
        <f t="shared" si="0"/>
        <v>&lt;tr&gt; &lt;td&gt;7472203&lt;/td&gt;&lt;td&gt;SERVO FLT CF4 15W-40-4 X 3 L&lt;/td&gt;&lt;td&gt;930&lt;/td&gt;&lt;td&gt;683.55&lt;/td&gt;&lt;td&gt;10&lt;/td&gt;&lt;td&gt;0&lt;/td&gt;&lt;td&gt;0&lt;/td&gt;&lt;td&gt;648.15&lt;/td&gt;&lt;td&gt;281.85&lt;/td&gt;&lt;td&gt;93.95&lt;/td&gt;&lt;td&gt;43.4853043277019&lt;/td&gt;&lt;td&gt;2592.6&lt;/td&gt;&lt;/tr&gt;</v>
      </c>
    </row>
    <row r="67" spans="1:26" x14ac:dyDescent="0.3">
      <c r="A67" s="1" t="s">
        <v>13</v>
      </c>
      <c r="B67">
        <v>7472234</v>
      </c>
      <c r="C67" s="1" t="s">
        <v>14</v>
      </c>
      <c r="D67" t="s">
        <v>164</v>
      </c>
      <c r="E67" s="1" t="s">
        <v>14</v>
      </c>
      <c r="F67">
        <v>1545</v>
      </c>
      <c r="G67" s="1" t="s">
        <v>14</v>
      </c>
      <c r="H67">
        <v>1131.4035000000001</v>
      </c>
      <c r="I67" s="1" t="s">
        <v>14</v>
      </c>
      <c r="J67">
        <v>10</v>
      </c>
      <c r="K67" s="1" t="s">
        <v>14</v>
      </c>
      <c r="L67">
        <v>0</v>
      </c>
      <c r="M67" s="1" t="s">
        <v>14</v>
      </c>
      <c r="N67">
        <v>0</v>
      </c>
      <c r="O67" s="1" t="s">
        <v>14</v>
      </c>
      <c r="P67">
        <v>1072.4035000000001</v>
      </c>
      <c r="Q67" s="1" t="s">
        <v>14</v>
      </c>
      <c r="R67">
        <v>472.59649999999988</v>
      </c>
      <c r="S67" s="1" t="s">
        <v>14</v>
      </c>
      <c r="T67">
        <v>94.519299999999987</v>
      </c>
      <c r="U67" s="1" t="s">
        <v>14</v>
      </c>
      <c r="V67">
        <v>44.068906899315401</v>
      </c>
      <c r="W67" s="1" t="s">
        <v>14</v>
      </c>
      <c r="X67">
        <v>4289.6140000000032</v>
      </c>
      <c r="Y67" s="1" t="s">
        <v>12</v>
      </c>
      <c r="Z67" s="1" t="str">
        <f t="shared" ref="Z67:Z130" si="1">CONCATENATE(A67,B67,C67,D67,E67,F67,G67,H67,I67,J67,K67,L67,M67,N67,O67,P67,Q67,R67,S67,T67,U67,V67,W67,X67,Y67)</f>
        <v>&lt;tr&gt; &lt;td&gt;7472234&lt;/td&gt;&lt;td&gt;SERVO FLT CF4 15W-40-4 X 5 L&lt;/td&gt;&lt;td&gt;1545&lt;/td&gt;&lt;td&gt;1131.4035&lt;/td&gt;&lt;td&gt;10&lt;/td&gt;&lt;td&gt;0&lt;/td&gt;&lt;td&gt;0&lt;/td&gt;&lt;td&gt;1072.4035&lt;/td&gt;&lt;td&gt;472.5965&lt;/td&gt;&lt;td&gt;94.5193&lt;/td&gt;&lt;td&gt;44.0689068993154&lt;/td&gt;&lt;td&gt;4289.614&lt;/td&gt;&lt;/tr&gt;</v>
      </c>
    </row>
    <row r="68" spans="1:26" x14ac:dyDescent="0.3">
      <c r="A68" s="1" t="s">
        <v>13</v>
      </c>
      <c r="B68">
        <v>7472251</v>
      </c>
      <c r="C68" s="1" t="s">
        <v>14</v>
      </c>
      <c r="D68" t="s">
        <v>165</v>
      </c>
      <c r="E68" s="1" t="s">
        <v>14</v>
      </c>
      <c r="F68">
        <v>2253</v>
      </c>
      <c r="G68" s="1" t="s">
        <v>14</v>
      </c>
      <c r="H68">
        <v>1667.8959</v>
      </c>
      <c r="I68" s="1" t="s">
        <v>14</v>
      </c>
      <c r="J68">
        <v>15</v>
      </c>
      <c r="K68" s="1" t="s">
        <v>14</v>
      </c>
      <c r="L68">
        <v>0</v>
      </c>
      <c r="M68" s="1" t="s">
        <v>14</v>
      </c>
      <c r="N68">
        <v>0</v>
      </c>
      <c r="O68" s="1" t="s">
        <v>14</v>
      </c>
      <c r="P68">
        <v>1535.1458999999998</v>
      </c>
      <c r="Q68" s="1" t="s">
        <v>14</v>
      </c>
      <c r="R68">
        <v>717.85410000000024</v>
      </c>
      <c r="S68" s="1" t="s">
        <v>14</v>
      </c>
      <c r="T68">
        <v>95.713880000000017</v>
      </c>
      <c r="U68" s="1" t="s">
        <v>14</v>
      </c>
      <c r="V68">
        <v>46.761294805920421</v>
      </c>
      <c r="W68" s="1" t="s">
        <v>14</v>
      </c>
      <c r="X68">
        <v>1535.1459000000007</v>
      </c>
      <c r="Y68" s="1" t="s">
        <v>12</v>
      </c>
      <c r="Z68" s="1" t="str">
        <f t="shared" si="1"/>
        <v>&lt;tr&gt; &lt;td&gt;7472251&lt;/td&gt;&lt;td&gt;SERVO FLT CF4 15W-40-7.5 L&lt;/td&gt;&lt;td&gt;2253&lt;/td&gt;&lt;td&gt;1667.8959&lt;/td&gt;&lt;td&gt;15&lt;/td&gt;&lt;td&gt;0&lt;/td&gt;&lt;td&gt;0&lt;/td&gt;&lt;td&gt;1535.1459&lt;/td&gt;&lt;td&gt;717.8541&lt;/td&gt;&lt;td&gt;95.71388&lt;/td&gt;&lt;td&gt;46.7612948059204&lt;/td&gt;&lt;td&gt;1535.1459&lt;/td&gt;&lt;/tr&gt;</v>
      </c>
    </row>
    <row r="69" spans="1:26" x14ac:dyDescent="0.3">
      <c r="A69" s="1" t="s">
        <v>13</v>
      </c>
      <c r="B69">
        <v>7472256</v>
      </c>
      <c r="C69" s="1" t="s">
        <v>14</v>
      </c>
      <c r="D69" t="s">
        <v>166</v>
      </c>
      <c r="E69" s="1" t="s">
        <v>14</v>
      </c>
      <c r="F69">
        <v>4475</v>
      </c>
      <c r="G69" s="1" t="s">
        <v>14</v>
      </c>
      <c r="H69">
        <v>3292.2574999999993</v>
      </c>
      <c r="I69" s="1" t="s">
        <v>14</v>
      </c>
      <c r="J69">
        <v>15</v>
      </c>
      <c r="K69" s="1" t="s">
        <v>14</v>
      </c>
      <c r="L69">
        <v>0</v>
      </c>
      <c r="M69" s="1" t="s">
        <v>14</v>
      </c>
      <c r="N69">
        <v>0</v>
      </c>
      <c r="O69" s="1" t="s">
        <v>14</v>
      </c>
      <c r="P69">
        <v>3026.7574999999993</v>
      </c>
      <c r="Q69" s="1" t="s">
        <v>14</v>
      </c>
      <c r="R69">
        <v>1448.2425000000007</v>
      </c>
      <c r="S69" s="1" t="s">
        <v>14</v>
      </c>
      <c r="T69">
        <v>96.549500000000023</v>
      </c>
      <c r="U69" s="1" t="s">
        <v>14</v>
      </c>
      <c r="V69">
        <v>47.847985839632052</v>
      </c>
      <c r="W69" s="1" t="s">
        <v>14</v>
      </c>
      <c r="X69">
        <v>3026.7575000000011</v>
      </c>
      <c r="Y69" s="1" t="s">
        <v>12</v>
      </c>
      <c r="Z69" s="1" t="str">
        <f t="shared" si="1"/>
        <v>&lt;tr&gt; &lt;td&gt;7472256&lt;/td&gt;&lt;td&gt;SERVO FLT CF4 15W-40-15 L&lt;/td&gt;&lt;td&gt;4475&lt;/td&gt;&lt;td&gt;3292.2575&lt;/td&gt;&lt;td&gt;15&lt;/td&gt;&lt;td&gt;0&lt;/td&gt;&lt;td&gt;0&lt;/td&gt;&lt;td&gt;3026.7575&lt;/td&gt;&lt;td&gt;1448.2425&lt;/td&gt;&lt;td&gt;96.5495&lt;/td&gt;&lt;td&gt;47.8479858396321&lt;/td&gt;&lt;td&gt;3026.7575&lt;/td&gt;&lt;/tr&gt;</v>
      </c>
    </row>
    <row r="70" spans="1:26" x14ac:dyDescent="0.3">
      <c r="A70" s="1" t="s">
        <v>13</v>
      </c>
      <c r="B70">
        <v>7485174</v>
      </c>
      <c r="C70" s="1" t="s">
        <v>14</v>
      </c>
      <c r="D70" t="s">
        <v>167</v>
      </c>
      <c r="E70" s="1" t="s">
        <v>14</v>
      </c>
      <c r="F70">
        <v>156</v>
      </c>
      <c r="G70" s="1" t="s">
        <v>14</v>
      </c>
      <c r="H70">
        <v>118.7784</v>
      </c>
      <c r="I70" s="1" t="s">
        <v>14</v>
      </c>
      <c r="J70">
        <v>0</v>
      </c>
      <c r="K70" s="1" t="s">
        <v>14</v>
      </c>
      <c r="L70">
        <v>0</v>
      </c>
      <c r="M70" s="1" t="s">
        <v>14</v>
      </c>
      <c r="N70">
        <v>0</v>
      </c>
      <c r="O70" s="1" t="s">
        <v>14</v>
      </c>
      <c r="P70">
        <v>118.7784</v>
      </c>
      <c r="Q70" s="1" t="s">
        <v>14</v>
      </c>
      <c r="R70">
        <v>37.221599999999995</v>
      </c>
      <c r="S70" s="1" t="s">
        <v>14</v>
      </c>
      <c r="T70">
        <v>74.44319999999999</v>
      </c>
      <c r="U70" s="1" t="s">
        <v>14</v>
      </c>
      <c r="V70">
        <v>31.337010769634876</v>
      </c>
      <c r="W70" s="1" t="s">
        <v>14</v>
      </c>
      <c r="X70">
        <v>4751.1360000000032</v>
      </c>
      <c r="Y70" s="1" t="s">
        <v>12</v>
      </c>
      <c r="Z70" s="1" t="str">
        <f t="shared" si="1"/>
        <v>&lt;tr&gt; &lt;td&gt;7485174&lt;/td&gt;&lt;td&gt;SERVO SUPER 20W-40 MG-40X1/2L&lt;/td&gt;&lt;td&gt;156&lt;/td&gt;&lt;td&gt;118.7784&lt;/td&gt;&lt;td&gt;0&lt;/td&gt;&lt;td&gt;0&lt;/td&gt;&lt;td&gt;0&lt;/td&gt;&lt;td&gt;118.7784&lt;/td&gt;&lt;td&gt;37.2216&lt;/td&gt;&lt;td&gt;74.4432&lt;/td&gt;&lt;td&gt;31.3370107696349&lt;/td&gt;&lt;td&gt;4751.136&lt;/td&gt;&lt;/tr&gt;</v>
      </c>
    </row>
    <row r="71" spans="1:26" x14ac:dyDescent="0.3">
      <c r="A71" s="1" t="s">
        <v>13</v>
      </c>
      <c r="B71">
        <v>7485184</v>
      </c>
      <c r="C71" s="1" t="s">
        <v>14</v>
      </c>
      <c r="D71" t="s">
        <v>168</v>
      </c>
      <c r="E71" s="1" t="s">
        <v>14</v>
      </c>
      <c r="F71">
        <v>302</v>
      </c>
      <c r="G71" s="1" t="s">
        <v>14</v>
      </c>
      <c r="H71">
        <v>231.60380000000001</v>
      </c>
      <c r="I71" s="1" t="s">
        <v>14</v>
      </c>
      <c r="J71">
        <v>13</v>
      </c>
      <c r="K71" s="1" t="s">
        <v>14</v>
      </c>
      <c r="L71">
        <v>0</v>
      </c>
      <c r="M71" s="1" t="s">
        <v>14</v>
      </c>
      <c r="N71">
        <v>0</v>
      </c>
      <c r="O71" s="1" t="s">
        <v>14</v>
      </c>
      <c r="P71">
        <v>216.2638</v>
      </c>
      <c r="Q71" s="1" t="s">
        <v>14</v>
      </c>
      <c r="R71">
        <v>85.736199999999997</v>
      </c>
      <c r="S71" s="1" t="s">
        <v>14</v>
      </c>
      <c r="T71">
        <v>85.736199999999997</v>
      </c>
      <c r="U71" s="1" t="s">
        <v>14</v>
      </c>
      <c r="V71">
        <v>39.644267787766609</v>
      </c>
      <c r="W71" s="1" t="s">
        <v>14</v>
      </c>
      <c r="X71">
        <v>4325.2760000000035</v>
      </c>
      <c r="Y71" s="1" t="s">
        <v>12</v>
      </c>
      <c r="Z71" s="1" t="str">
        <f t="shared" si="1"/>
        <v>&lt;tr&gt; &lt;td&gt;7485184&lt;/td&gt;&lt;td&gt;SERVO SUPER 20W-40 MG-20 X 1 L&lt;/td&gt;&lt;td&gt;302&lt;/td&gt;&lt;td&gt;231.6038&lt;/td&gt;&lt;td&gt;13&lt;/td&gt;&lt;td&gt;0&lt;/td&gt;&lt;td&gt;0&lt;/td&gt;&lt;td&gt;216.2638&lt;/td&gt;&lt;td&gt;85.7362&lt;/td&gt;&lt;td&gt;85.7362&lt;/td&gt;&lt;td&gt;39.6442677877666&lt;/td&gt;&lt;td&gt;4325.276&lt;/td&gt;&lt;/tr&gt;</v>
      </c>
    </row>
    <row r="72" spans="1:26" x14ac:dyDescent="0.3">
      <c r="A72" s="1" t="s">
        <v>13</v>
      </c>
      <c r="B72">
        <v>7485234</v>
      </c>
      <c r="C72" s="1" t="s">
        <v>14</v>
      </c>
      <c r="D72" t="s">
        <v>169</v>
      </c>
      <c r="E72" s="1" t="s">
        <v>14</v>
      </c>
      <c r="F72">
        <v>1505</v>
      </c>
      <c r="G72" s="1" t="s">
        <v>14</v>
      </c>
      <c r="H72">
        <v>1145.4555</v>
      </c>
      <c r="I72" s="1" t="s">
        <v>14</v>
      </c>
      <c r="J72">
        <v>24</v>
      </c>
      <c r="K72" s="1" t="s">
        <v>14</v>
      </c>
      <c r="L72">
        <v>0</v>
      </c>
      <c r="M72" s="1" t="s">
        <v>14</v>
      </c>
      <c r="N72">
        <v>0</v>
      </c>
      <c r="O72" s="1" t="s">
        <v>14</v>
      </c>
      <c r="P72">
        <v>1003.8555</v>
      </c>
      <c r="Q72" s="1" t="s">
        <v>14</v>
      </c>
      <c r="R72">
        <v>501.14449999999999</v>
      </c>
      <c r="S72" s="1" t="s">
        <v>14</v>
      </c>
      <c r="T72">
        <v>100.22890000000001</v>
      </c>
      <c r="U72" s="1" t="s">
        <v>14</v>
      </c>
      <c r="V72">
        <v>49.921975822217441</v>
      </c>
      <c r="W72" s="1" t="s">
        <v>14</v>
      </c>
      <c r="X72">
        <v>4015.4220000000028</v>
      </c>
      <c r="Y72" s="1" t="s">
        <v>12</v>
      </c>
      <c r="Z72" s="1" t="str">
        <f t="shared" si="1"/>
        <v>&lt;tr&gt; &lt;td&gt;7485234&lt;/td&gt;&lt;td&gt;SERVO SUPER 20W-40 MG-4x5L - HDPE&lt;/td&gt;&lt;td&gt;1505&lt;/td&gt;&lt;td&gt;1145.4555&lt;/td&gt;&lt;td&gt;24&lt;/td&gt;&lt;td&gt;0&lt;/td&gt;&lt;td&gt;0&lt;/td&gt;&lt;td&gt;1003.8555&lt;/td&gt;&lt;td&gt;501.1445&lt;/td&gt;&lt;td&gt;100.2289&lt;/td&gt;&lt;td&gt;49.9219758222174&lt;/td&gt;&lt;td&gt;4015.422&lt;/td&gt;&lt;/tr&gt;</v>
      </c>
    </row>
    <row r="73" spans="1:26" x14ac:dyDescent="0.3">
      <c r="A73" s="1" t="s">
        <v>13</v>
      </c>
      <c r="B73">
        <v>7485242</v>
      </c>
      <c r="C73" s="1" t="s">
        <v>14</v>
      </c>
      <c r="D73" t="s">
        <v>170</v>
      </c>
      <c r="E73" s="1" t="s">
        <v>14</v>
      </c>
      <c r="F73">
        <v>2890</v>
      </c>
      <c r="G73" s="1" t="s">
        <v>14</v>
      </c>
      <c r="H73">
        <v>2245.5300000000002</v>
      </c>
      <c r="I73" s="1" t="s">
        <v>14</v>
      </c>
      <c r="J73">
        <v>24</v>
      </c>
      <c r="K73" s="1" t="s">
        <v>14</v>
      </c>
      <c r="L73">
        <v>0</v>
      </c>
      <c r="M73" s="1" t="s">
        <v>14</v>
      </c>
      <c r="N73">
        <v>0</v>
      </c>
      <c r="O73" s="1" t="s">
        <v>14</v>
      </c>
      <c r="P73">
        <v>1962.3300000000004</v>
      </c>
      <c r="Q73" s="1" t="s">
        <v>14</v>
      </c>
      <c r="R73">
        <v>927.66999999999962</v>
      </c>
      <c r="S73" s="1" t="s">
        <v>14</v>
      </c>
      <c r="T73">
        <v>92.766999999999967</v>
      </c>
      <c r="U73" s="1" t="s">
        <v>14</v>
      </c>
      <c r="V73">
        <v>47.273903981491358</v>
      </c>
      <c r="W73" s="1" t="s">
        <v>14</v>
      </c>
      <c r="X73">
        <v>1962.3300000000013</v>
      </c>
      <c r="Y73" s="1" t="s">
        <v>12</v>
      </c>
      <c r="Z73" s="1" t="str">
        <f t="shared" si="1"/>
        <v>&lt;tr&gt; &lt;td&gt;7485242&lt;/td&gt;&lt;td&gt;SERVO SUPER 20W-40 MG-10 L&lt;/td&gt;&lt;td&gt;2890&lt;/td&gt;&lt;td&gt;2245.53&lt;/td&gt;&lt;td&gt;24&lt;/td&gt;&lt;td&gt;0&lt;/td&gt;&lt;td&gt;0&lt;/td&gt;&lt;td&gt;1962.33&lt;/td&gt;&lt;td&gt;927.67&lt;/td&gt;&lt;td&gt;92.767&lt;/td&gt;&lt;td&gt;47.2739039814914&lt;/td&gt;&lt;td&gt;1962.33&lt;/td&gt;&lt;/tr&gt;</v>
      </c>
    </row>
    <row r="74" spans="1:26" x14ac:dyDescent="0.3">
      <c r="A74" s="1" t="s">
        <v>13</v>
      </c>
      <c r="B74">
        <v>7485251</v>
      </c>
      <c r="C74" s="1" t="s">
        <v>14</v>
      </c>
      <c r="D74" t="s">
        <v>171</v>
      </c>
      <c r="E74" s="1" t="s">
        <v>14</v>
      </c>
      <c r="F74">
        <v>2176</v>
      </c>
      <c r="G74" s="1" t="s">
        <v>14</v>
      </c>
      <c r="H74">
        <v>1695.9744000000001</v>
      </c>
      <c r="I74" s="1" t="s">
        <v>14</v>
      </c>
      <c r="J74">
        <v>24</v>
      </c>
      <c r="K74" s="1" t="s">
        <v>14</v>
      </c>
      <c r="L74">
        <v>0</v>
      </c>
      <c r="M74" s="1" t="s">
        <v>14</v>
      </c>
      <c r="N74">
        <v>0</v>
      </c>
      <c r="O74" s="1" t="s">
        <v>14</v>
      </c>
      <c r="P74">
        <v>1483.5744000000002</v>
      </c>
      <c r="Q74" s="1" t="s">
        <v>14</v>
      </c>
      <c r="R74">
        <v>692.4255999999998</v>
      </c>
      <c r="S74" s="1" t="s">
        <v>14</v>
      </c>
      <c r="T74">
        <v>92.323413333333292</v>
      </c>
      <c r="U74" s="1" t="s">
        <v>14</v>
      </c>
      <c r="V74">
        <v>46.672792412702705</v>
      </c>
      <c r="W74" s="1" t="s">
        <v>14</v>
      </c>
      <c r="X74">
        <v>1483.5744000000011</v>
      </c>
      <c r="Y74" s="1" t="s">
        <v>12</v>
      </c>
      <c r="Z74" s="1" t="str">
        <f t="shared" si="1"/>
        <v>&lt;tr&gt; &lt;td&gt;7485251&lt;/td&gt;&lt;td&gt;SERVO SUPER 20W-40 MG-7.5 L&lt;/td&gt;&lt;td&gt;2176&lt;/td&gt;&lt;td&gt;1695.9744&lt;/td&gt;&lt;td&gt;24&lt;/td&gt;&lt;td&gt;0&lt;/td&gt;&lt;td&gt;0&lt;/td&gt;&lt;td&gt;1483.5744&lt;/td&gt;&lt;td&gt;692.4256&lt;/td&gt;&lt;td&gt;92.3234133333333&lt;/td&gt;&lt;td&gt;46.6727924127027&lt;/td&gt;&lt;td&gt;1483.5744&lt;/td&gt;&lt;/tr&gt;</v>
      </c>
    </row>
    <row r="75" spans="1:26" x14ac:dyDescent="0.3">
      <c r="A75" s="1" t="s">
        <v>13</v>
      </c>
      <c r="B75">
        <v>7485265</v>
      </c>
      <c r="C75" s="1" t="s">
        <v>14</v>
      </c>
      <c r="D75" t="s">
        <v>172</v>
      </c>
      <c r="E75" s="1" t="s">
        <v>14</v>
      </c>
      <c r="F75">
        <v>5740</v>
      </c>
      <c r="G75" s="1" t="s">
        <v>14</v>
      </c>
      <c r="H75">
        <v>4393.97</v>
      </c>
      <c r="I75" s="1" t="s">
        <v>14</v>
      </c>
      <c r="J75">
        <v>24</v>
      </c>
      <c r="K75" s="1" t="s">
        <v>14</v>
      </c>
      <c r="L75">
        <v>0</v>
      </c>
      <c r="M75" s="1" t="s">
        <v>14</v>
      </c>
      <c r="N75">
        <v>0</v>
      </c>
      <c r="O75" s="1" t="s">
        <v>14</v>
      </c>
      <c r="P75">
        <v>3827.57</v>
      </c>
      <c r="Q75" s="1" t="s">
        <v>14</v>
      </c>
      <c r="R75">
        <v>1912.4299999999998</v>
      </c>
      <c r="S75" s="1" t="s">
        <v>14</v>
      </c>
      <c r="T75">
        <v>95.621499999999997</v>
      </c>
      <c r="U75" s="1" t="s">
        <v>14</v>
      </c>
      <c r="V75">
        <v>49.964598949202752</v>
      </c>
      <c r="W75" s="1" t="s">
        <v>14</v>
      </c>
      <c r="X75">
        <v>3827.5700000000029</v>
      </c>
      <c r="Y75" s="1" t="s">
        <v>12</v>
      </c>
      <c r="Z75" s="1" t="str">
        <f t="shared" si="1"/>
        <v>&lt;tr&gt; &lt;td&gt;7485265&lt;/td&gt;&lt;td&gt;SERVO SUPER 20W-40 MG-20 L&lt;/td&gt;&lt;td&gt;5740&lt;/td&gt;&lt;td&gt;4393.97&lt;/td&gt;&lt;td&gt;24&lt;/td&gt;&lt;td&gt;0&lt;/td&gt;&lt;td&gt;0&lt;/td&gt;&lt;td&gt;3827.57&lt;/td&gt;&lt;td&gt;1912.43&lt;/td&gt;&lt;td&gt;95.6215&lt;/td&gt;&lt;td&gt;49.9645989492028&lt;/td&gt;&lt;td&gt;3827.57&lt;/td&gt;&lt;/tr&gt;</v>
      </c>
    </row>
    <row r="76" spans="1:26" x14ac:dyDescent="0.3">
      <c r="A76" s="1" t="s">
        <v>13</v>
      </c>
      <c r="B76">
        <v>7489184</v>
      </c>
      <c r="C76" s="1" t="s">
        <v>14</v>
      </c>
      <c r="D76" t="s">
        <v>173</v>
      </c>
      <c r="E76" s="1" t="s">
        <v>14</v>
      </c>
      <c r="F76">
        <v>395</v>
      </c>
      <c r="G76" s="1" t="s">
        <v>14</v>
      </c>
      <c r="H76">
        <v>308.45550000000003</v>
      </c>
      <c r="I76" s="1" t="s">
        <v>14</v>
      </c>
      <c r="J76">
        <v>41</v>
      </c>
      <c r="K76" s="1" t="s">
        <v>14</v>
      </c>
      <c r="L76">
        <v>0</v>
      </c>
      <c r="M76" s="1" t="s">
        <v>14</v>
      </c>
      <c r="N76">
        <v>0</v>
      </c>
      <c r="O76" s="1" t="s">
        <v>14</v>
      </c>
      <c r="P76">
        <v>260.07550000000003</v>
      </c>
      <c r="Q76" s="1" t="s">
        <v>14</v>
      </c>
      <c r="R76">
        <v>134.92449999999997</v>
      </c>
      <c r="S76" s="1" t="s">
        <v>14</v>
      </c>
      <c r="T76">
        <v>134.92449999999997</v>
      </c>
      <c r="U76" s="1" t="s">
        <v>14</v>
      </c>
      <c r="V76">
        <v>51.878973605741386</v>
      </c>
      <c r="W76" s="1" t="s">
        <v>14</v>
      </c>
      <c r="X76">
        <v>5201.5100000000048</v>
      </c>
      <c r="Y76" s="1" t="s">
        <v>12</v>
      </c>
      <c r="Z76" s="1" t="str">
        <f t="shared" si="1"/>
        <v>&lt;tr&gt; &lt;td&gt;7489184&lt;/td&gt;&lt;td&gt;SERVO PRIDE XL PLUS 15W40-20 X 1 L&lt;/td&gt;&lt;td&gt;395&lt;/td&gt;&lt;td&gt;308.4555&lt;/td&gt;&lt;td&gt;41&lt;/td&gt;&lt;td&gt;0&lt;/td&gt;&lt;td&gt;0&lt;/td&gt;&lt;td&gt;260.0755&lt;/td&gt;&lt;td&gt;134.9245&lt;/td&gt;&lt;td&gt;134.9245&lt;/td&gt;&lt;td&gt;51.8789736057414&lt;/td&gt;&lt;td&gt;5201.51&lt;/td&gt;&lt;/tr&gt;</v>
      </c>
    </row>
    <row r="77" spans="1:26" x14ac:dyDescent="0.3">
      <c r="A77" s="1" t="s">
        <v>13</v>
      </c>
      <c r="B77">
        <v>7489203</v>
      </c>
      <c r="C77" s="1" t="s">
        <v>14</v>
      </c>
      <c r="D77" t="s">
        <v>174</v>
      </c>
      <c r="E77" s="1" t="s">
        <v>14</v>
      </c>
      <c r="F77">
        <v>1175</v>
      </c>
      <c r="G77" s="1" t="s">
        <v>14</v>
      </c>
      <c r="H77">
        <v>918.73249999999996</v>
      </c>
      <c r="I77" s="1" t="s">
        <v>14</v>
      </c>
      <c r="J77">
        <v>41</v>
      </c>
      <c r="K77" s="1" t="s">
        <v>14</v>
      </c>
      <c r="L77">
        <v>0</v>
      </c>
      <c r="M77" s="1" t="s">
        <v>14</v>
      </c>
      <c r="N77">
        <v>0</v>
      </c>
      <c r="O77" s="1" t="s">
        <v>14</v>
      </c>
      <c r="P77">
        <v>773.59249999999997</v>
      </c>
      <c r="Q77" s="1" t="s">
        <v>14</v>
      </c>
      <c r="R77">
        <v>401.40750000000003</v>
      </c>
      <c r="S77" s="1" t="s">
        <v>14</v>
      </c>
      <c r="T77">
        <v>133.80250000000001</v>
      </c>
      <c r="U77" s="1" t="s">
        <v>14</v>
      </c>
      <c r="V77">
        <v>51.88875279943899</v>
      </c>
      <c r="W77" s="1" t="s">
        <v>14</v>
      </c>
      <c r="X77">
        <v>3094.3700000000013</v>
      </c>
      <c r="Y77" s="1" t="s">
        <v>12</v>
      </c>
      <c r="Z77" s="1" t="str">
        <f t="shared" si="1"/>
        <v>&lt;tr&gt; &lt;td&gt;7489203&lt;/td&gt;&lt;td&gt;SERVO PRIDE XL PLUS 15W40-4X3 L&lt;/td&gt;&lt;td&gt;1175&lt;/td&gt;&lt;td&gt;918.7325&lt;/td&gt;&lt;td&gt;41&lt;/td&gt;&lt;td&gt;0&lt;/td&gt;&lt;td&gt;0&lt;/td&gt;&lt;td&gt;773.5925&lt;/td&gt;&lt;td&gt;401.4075&lt;/td&gt;&lt;td&gt;133.8025&lt;/td&gt;&lt;td&gt;51.888752799439&lt;/td&gt;&lt;td&gt;3094.37&lt;/td&gt;&lt;/tr&gt;</v>
      </c>
    </row>
    <row r="78" spans="1:26" x14ac:dyDescent="0.3">
      <c r="A78" s="1" t="s">
        <v>13</v>
      </c>
      <c r="B78">
        <v>7489234</v>
      </c>
      <c r="C78" s="1" t="s">
        <v>14</v>
      </c>
      <c r="D78" t="s">
        <v>175</v>
      </c>
      <c r="E78" s="1" t="s">
        <v>14</v>
      </c>
      <c r="F78">
        <v>1925</v>
      </c>
      <c r="G78" s="1" t="s">
        <v>14</v>
      </c>
      <c r="H78">
        <v>1524.7925</v>
      </c>
      <c r="I78" s="1" t="s">
        <v>14</v>
      </c>
      <c r="J78">
        <v>41</v>
      </c>
      <c r="K78" s="1" t="s">
        <v>14</v>
      </c>
      <c r="L78">
        <v>0</v>
      </c>
      <c r="M78" s="1" t="s">
        <v>14</v>
      </c>
      <c r="N78">
        <v>0</v>
      </c>
      <c r="O78" s="1" t="s">
        <v>14</v>
      </c>
      <c r="P78">
        <v>1282.8924999999999</v>
      </c>
      <c r="Q78" s="1" t="s">
        <v>14</v>
      </c>
      <c r="R78">
        <v>642.10750000000007</v>
      </c>
      <c r="S78" s="1" t="s">
        <v>14</v>
      </c>
      <c r="T78">
        <v>128.42150000000004</v>
      </c>
      <c r="U78" s="1" t="s">
        <v>14</v>
      </c>
      <c r="V78">
        <v>50.051543679614632</v>
      </c>
      <c r="W78" s="1" t="s">
        <v>14</v>
      </c>
      <c r="X78">
        <v>5131.5700000000033</v>
      </c>
      <c r="Y78" s="1" t="s">
        <v>12</v>
      </c>
      <c r="Z78" s="1" t="str">
        <f t="shared" si="1"/>
        <v>&lt;tr&gt; &lt;td&gt;7489234&lt;/td&gt;&lt;td&gt;SERVO PRIDE XL PLUS 15W40-4x5L - HDPE&lt;/td&gt;&lt;td&gt;1925&lt;/td&gt;&lt;td&gt;1524.7925&lt;/td&gt;&lt;td&gt;41&lt;/td&gt;&lt;td&gt;0&lt;/td&gt;&lt;td&gt;0&lt;/td&gt;&lt;td&gt;1282.8925&lt;/td&gt;&lt;td&gt;642.1075&lt;/td&gt;&lt;td&gt;128.4215&lt;/td&gt;&lt;td&gt;50.0515436796146&lt;/td&gt;&lt;td&gt;5131.57&lt;/td&gt;&lt;/tr&gt;</v>
      </c>
    </row>
    <row r="79" spans="1:26" x14ac:dyDescent="0.3">
      <c r="A79" s="1" t="s">
        <v>13</v>
      </c>
      <c r="B79">
        <v>7489241</v>
      </c>
      <c r="C79" s="1" t="s">
        <v>14</v>
      </c>
      <c r="D79" t="s">
        <v>176</v>
      </c>
      <c r="E79" s="1" t="s">
        <v>14</v>
      </c>
      <c r="F79">
        <v>3800</v>
      </c>
      <c r="G79" s="1" t="s">
        <v>14</v>
      </c>
      <c r="H79">
        <v>3026.32</v>
      </c>
      <c r="I79" s="1" t="s">
        <v>14</v>
      </c>
      <c r="J79">
        <v>51</v>
      </c>
      <c r="K79" s="1" t="s">
        <v>14</v>
      </c>
      <c r="L79">
        <v>0</v>
      </c>
      <c r="M79" s="1" t="s">
        <v>14</v>
      </c>
      <c r="N79">
        <v>0</v>
      </c>
      <c r="O79" s="1" t="s">
        <v>14</v>
      </c>
      <c r="P79">
        <v>2424.5200000000004</v>
      </c>
      <c r="Q79" s="1" t="s">
        <v>14</v>
      </c>
      <c r="R79">
        <v>1375.4799999999996</v>
      </c>
      <c r="S79" s="1" t="s">
        <v>14</v>
      </c>
      <c r="T79">
        <v>137.54799999999994</v>
      </c>
      <c r="U79" s="1" t="s">
        <v>14</v>
      </c>
      <c r="V79">
        <v>56.732054179796386</v>
      </c>
      <c r="W79" s="1" t="s">
        <v>14</v>
      </c>
      <c r="X79">
        <v>2424.5200000000004</v>
      </c>
      <c r="Y79" s="1" t="s">
        <v>12</v>
      </c>
      <c r="Z79" s="1" t="str">
        <f t="shared" si="1"/>
        <v>&lt;tr&gt; &lt;td&gt;7489241&lt;/td&gt;&lt;td&gt;SERVO PRIDE XL PLUS 15W40-10L PROMO&lt;/td&gt;&lt;td&gt;3800&lt;/td&gt;&lt;td&gt;3026.32&lt;/td&gt;&lt;td&gt;51&lt;/td&gt;&lt;td&gt;0&lt;/td&gt;&lt;td&gt;0&lt;/td&gt;&lt;td&gt;2424.52&lt;/td&gt;&lt;td&gt;1375.48&lt;/td&gt;&lt;td&gt;137.548&lt;/td&gt;&lt;td&gt;56.7320541797964&lt;/td&gt;&lt;td&gt;2424.52&lt;/td&gt;&lt;/tr&gt;</v>
      </c>
    </row>
    <row r="80" spans="1:26" x14ac:dyDescent="0.3">
      <c r="A80" s="1" t="s">
        <v>13</v>
      </c>
      <c r="B80">
        <v>7489250</v>
      </c>
      <c r="C80" s="1" t="s">
        <v>14</v>
      </c>
      <c r="D80" t="s">
        <v>177</v>
      </c>
      <c r="E80" s="1" t="s">
        <v>14</v>
      </c>
      <c r="F80">
        <v>2863</v>
      </c>
      <c r="G80" s="1" t="s">
        <v>14</v>
      </c>
      <c r="H80">
        <v>2277.8027999999999</v>
      </c>
      <c r="I80" s="1" t="s">
        <v>14</v>
      </c>
      <c r="J80">
        <v>51</v>
      </c>
      <c r="K80" s="1" t="s">
        <v>14</v>
      </c>
      <c r="L80">
        <v>0</v>
      </c>
      <c r="M80" s="1" t="s">
        <v>14</v>
      </c>
      <c r="N80">
        <v>0</v>
      </c>
      <c r="O80" s="1" t="s">
        <v>14</v>
      </c>
      <c r="P80">
        <v>1826.4528</v>
      </c>
      <c r="Q80" s="1" t="s">
        <v>14</v>
      </c>
      <c r="R80">
        <v>1036.5472</v>
      </c>
      <c r="S80" s="1" t="s">
        <v>14</v>
      </c>
      <c r="T80">
        <v>138.20629333333335</v>
      </c>
      <c r="U80" s="1" t="s">
        <v>14</v>
      </c>
      <c r="V80">
        <v>56.751929203973951</v>
      </c>
      <c r="W80" s="1" t="s">
        <v>14</v>
      </c>
      <c r="X80">
        <v>1826.4528</v>
      </c>
      <c r="Y80" s="1" t="s">
        <v>12</v>
      </c>
      <c r="Z80" s="1" t="str">
        <f t="shared" si="1"/>
        <v>&lt;tr&gt; &lt;td&gt;7489250&lt;/td&gt;&lt;td&gt;SERVO PRIDE XL PLUS 15W40-7.5L PROMO&lt;/td&gt;&lt;td&gt;2863&lt;/td&gt;&lt;td&gt;2277.8028&lt;/td&gt;&lt;td&gt;51&lt;/td&gt;&lt;td&gt;0&lt;/td&gt;&lt;td&gt;0&lt;/td&gt;&lt;td&gt;1826.4528&lt;/td&gt;&lt;td&gt;1036.5472&lt;/td&gt;&lt;td&gt;138.206293333333&lt;/td&gt;&lt;td&gt;56.751929203974&lt;/td&gt;&lt;td&gt;1826.4528&lt;/td&gt;&lt;/tr&gt;</v>
      </c>
    </row>
    <row r="81" spans="1:26" x14ac:dyDescent="0.3">
      <c r="A81" s="1" t="s">
        <v>13</v>
      </c>
      <c r="B81">
        <v>7489253</v>
      </c>
      <c r="C81" s="1" t="s">
        <v>14</v>
      </c>
      <c r="D81" t="s">
        <v>178</v>
      </c>
      <c r="E81" s="1" t="s">
        <v>14</v>
      </c>
      <c r="F81">
        <v>5675</v>
      </c>
      <c r="G81" s="1" t="s">
        <v>14</v>
      </c>
      <c r="H81">
        <v>4503.68</v>
      </c>
      <c r="I81" s="1" t="s">
        <v>14</v>
      </c>
      <c r="J81">
        <v>51</v>
      </c>
      <c r="K81" s="1" t="s">
        <v>14</v>
      </c>
      <c r="L81">
        <v>0</v>
      </c>
      <c r="M81" s="1" t="s">
        <v>14</v>
      </c>
      <c r="N81">
        <v>0</v>
      </c>
      <c r="O81" s="1" t="s">
        <v>14</v>
      </c>
      <c r="P81">
        <v>3600.9800000000005</v>
      </c>
      <c r="Q81" s="1" t="s">
        <v>14</v>
      </c>
      <c r="R81">
        <v>2074.0199999999995</v>
      </c>
      <c r="S81" s="1" t="s">
        <v>14</v>
      </c>
      <c r="T81">
        <v>138.26799999999994</v>
      </c>
      <c r="U81" s="1" t="s">
        <v>14</v>
      </c>
      <c r="V81">
        <v>57.595987758887837</v>
      </c>
      <c r="W81" s="1" t="s">
        <v>14</v>
      </c>
      <c r="X81">
        <v>3600.9800000000005</v>
      </c>
      <c r="Y81" s="1" t="s">
        <v>12</v>
      </c>
      <c r="Z81" s="1" t="str">
        <f t="shared" si="1"/>
        <v>&lt;tr&gt; &lt;td&gt;7489253&lt;/td&gt;&lt;td&gt;SERVO PRIDE XL PLUS 15W40-15L PROMO&lt;/td&gt;&lt;td&gt;5675&lt;/td&gt;&lt;td&gt;4503.68&lt;/td&gt;&lt;td&gt;51&lt;/td&gt;&lt;td&gt;0&lt;/td&gt;&lt;td&gt;0&lt;/td&gt;&lt;td&gt;3600.98&lt;/td&gt;&lt;td&gt;2074.02&lt;/td&gt;&lt;td&gt;138.268&lt;/td&gt;&lt;td&gt;57.5959877588878&lt;/td&gt;&lt;td&gt;3600.98&lt;/td&gt;&lt;/tr&gt;</v>
      </c>
    </row>
    <row r="82" spans="1:26" x14ac:dyDescent="0.3">
      <c r="A82" s="1" t="s">
        <v>13</v>
      </c>
      <c r="B82">
        <v>7489265</v>
      </c>
      <c r="C82" s="1" t="s">
        <v>14</v>
      </c>
      <c r="D82" t="s">
        <v>179</v>
      </c>
      <c r="E82" s="1" t="s">
        <v>14</v>
      </c>
      <c r="F82">
        <v>7500</v>
      </c>
      <c r="G82" s="1" t="s">
        <v>14</v>
      </c>
      <c r="H82">
        <v>5988.75</v>
      </c>
      <c r="I82" s="1" t="s">
        <v>14</v>
      </c>
      <c r="J82">
        <v>46</v>
      </c>
      <c r="K82" s="1" t="s">
        <v>14</v>
      </c>
      <c r="L82">
        <v>0</v>
      </c>
      <c r="M82" s="1" t="s">
        <v>14</v>
      </c>
      <c r="N82">
        <v>0</v>
      </c>
      <c r="O82" s="1" t="s">
        <v>14</v>
      </c>
      <c r="P82">
        <v>4903.1499999999996</v>
      </c>
      <c r="Q82" s="1" t="s">
        <v>14</v>
      </c>
      <c r="R82">
        <v>2596.8500000000004</v>
      </c>
      <c r="S82" s="1" t="s">
        <v>14</v>
      </c>
      <c r="T82">
        <v>129.84250000000003</v>
      </c>
      <c r="U82" s="1" t="s">
        <v>14</v>
      </c>
      <c r="V82">
        <v>52.962891202594264</v>
      </c>
      <c r="W82" s="1" t="s">
        <v>14</v>
      </c>
      <c r="X82">
        <v>4903.1500000000033</v>
      </c>
      <c r="Y82" s="1" t="s">
        <v>12</v>
      </c>
      <c r="Z82" s="1" t="str">
        <f t="shared" si="1"/>
        <v>&lt;tr&gt; &lt;td&gt;7489265&lt;/td&gt;&lt;td&gt;SERVO PRIDE XL PLUS 15W40-20 L&lt;/td&gt;&lt;td&gt;7500&lt;/td&gt;&lt;td&gt;5988.75&lt;/td&gt;&lt;td&gt;46&lt;/td&gt;&lt;td&gt;0&lt;/td&gt;&lt;td&gt;0&lt;/td&gt;&lt;td&gt;4903.15&lt;/td&gt;&lt;td&gt;2596.85&lt;/td&gt;&lt;td&gt;129.8425&lt;/td&gt;&lt;td&gt;52.9628912025943&lt;/td&gt;&lt;td&gt;4903.15&lt;/td&gt;&lt;/tr&gt;</v>
      </c>
    </row>
    <row r="83" spans="1:26" x14ac:dyDescent="0.3">
      <c r="A83" s="1" t="s">
        <v>13</v>
      </c>
      <c r="B83">
        <v>7494174</v>
      </c>
      <c r="C83" s="1" t="s">
        <v>14</v>
      </c>
      <c r="D83" t="s">
        <v>180</v>
      </c>
      <c r="E83" s="1" t="s">
        <v>14</v>
      </c>
      <c r="F83">
        <v>176</v>
      </c>
      <c r="G83" s="1" t="s">
        <v>14</v>
      </c>
      <c r="H83">
        <v>142.57759999999999</v>
      </c>
      <c r="I83" s="1" t="s">
        <v>14</v>
      </c>
      <c r="J83">
        <v>0</v>
      </c>
      <c r="K83" s="1" t="s">
        <v>14</v>
      </c>
      <c r="L83">
        <v>0</v>
      </c>
      <c r="M83" s="1" t="s">
        <v>14</v>
      </c>
      <c r="N83">
        <v>0</v>
      </c>
      <c r="O83" s="1" t="s">
        <v>14</v>
      </c>
      <c r="P83">
        <v>142.57759999999999</v>
      </c>
      <c r="Q83" s="1" t="s">
        <v>14</v>
      </c>
      <c r="R83">
        <v>33.42240000000001</v>
      </c>
      <c r="S83" s="1" t="s">
        <v>14</v>
      </c>
      <c r="T83">
        <v>66.844800000000021</v>
      </c>
      <c r="U83" s="1" t="s">
        <v>14</v>
      </c>
      <c r="V83">
        <v>23.441550425873359</v>
      </c>
      <c r="W83" s="1" t="s">
        <v>14</v>
      </c>
      <c r="X83">
        <v>5703.104000000003</v>
      </c>
      <c r="Y83" s="1" t="s">
        <v>12</v>
      </c>
      <c r="Z83" s="1" t="str">
        <f t="shared" si="1"/>
        <v>&lt;tr&gt; &lt;td&gt;7494174&lt;/td&gt;&lt;td&gt;SERVO SUP.MULT.GRD 20W-40-40X1/2L&lt;/td&gt;&lt;td&gt;176&lt;/td&gt;&lt;td&gt;142.5776&lt;/td&gt;&lt;td&gt;0&lt;/td&gt;&lt;td&gt;0&lt;/td&gt;&lt;td&gt;0&lt;/td&gt;&lt;td&gt;142.5776&lt;/td&gt;&lt;td&gt;33.4224&lt;/td&gt;&lt;td&gt;66.8448&lt;/td&gt;&lt;td&gt;23.4415504258734&lt;/td&gt;&lt;td&gt;5703.104&lt;/td&gt;&lt;/tr&gt;</v>
      </c>
    </row>
    <row r="84" spans="1:26" x14ac:dyDescent="0.3">
      <c r="A84" s="1" t="s">
        <v>13</v>
      </c>
      <c r="B84">
        <v>7494184</v>
      </c>
      <c r="C84" s="1" t="s">
        <v>14</v>
      </c>
      <c r="D84" t="s">
        <v>181</v>
      </c>
      <c r="E84" s="1" t="s">
        <v>14</v>
      </c>
      <c r="F84">
        <v>330</v>
      </c>
      <c r="G84" s="1" t="s">
        <v>14</v>
      </c>
      <c r="H84">
        <v>264.29700000000003</v>
      </c>
      <c r="I84" s="1" t="s">
        <v>14</v>
      </c>
      <c r="J84">
        <v>0</v>
      </c>
      <c r="K84" s="1" t="s">
        <v>14</v>
      </c>
      <c r="L84">
        <v>0</v>
      </c>
      <c r="M84" s="1" t="s">
        <v>14</v>
      </c>
      <c r="N84">
        <v>0</v>
      </c>
      <c r="O84" s="1" t="s">
        <v>14</v>
      </c>
      <c r="P84">
        <v>264.29700000000003</v>
      </c>
      <c r="Q84" s="1" t="s">
        <v>14</v>
      </c>
      <c r="R84">
        <v>65.702999999999975</v>
      </c>
      <c r="S84" s="1" t="s">
        <v>14</v>
      </c>
      <c r="T84">
        <v>65.702999999999975</v>
      </c>
      <c r="U84" s="1" t="s">
        <v>14</v>
      </c>
      <c r="V84">
        <v>24.859533025346472</v>
      </c>
      <c r="W84" s="1" t="s">
        <v>14</v>
      </c>
      <c r="X84">
        <v>5285.9400000000041</v>
      </c>
      <c r="Y84" s="1" t="s">
        <v>12</v>
      </c>
      <c r="Z84" s="1" t="str">
        <f t="shared" si="1"/>
        <v>&lt;tr&gt; &lt;td&gt;7494184&lt;/td&gt;&lt;td&gt;SERVO SUP.MULT.GRD 20W-40-20 X 1 L&lt;/td&gt;&lt;td&gt;330&lt;/td&gt;&lt;td&gt;264.297&lt;/td&gt;&lt;td&gt;0&lt;/td&gt;&lt;td&gt;0&lt;/td&gt;&lt;td&gt;0&lt;/td&gt;&lt;td&gt;264.297&lt;/td&gt;&lt;td&gt;65.703&lt;/td&gt;&lt;td&gt;65.703&lt;/td&gt;&lt;td&gt;24.8595330253465&lt;/td&gt;&lt;td&gt;5285.94&lt;/td&gt;&lt;/tr&gt;</v>
      </c>
    </row>
    <row r="85" spans="1:26" x14ac:dyDescent="0.3">
      <c r="A85" s="1" t="s">
        <v>13</v>
      </c>
      <c r="B85">
        <v>7494234</v>
      </c>
      <c r="C85" s="1" t="s">
        <v>14</v>
      </c>
      <c r="D85" t="s">
        <v>182</v>
      </c>
      <c r="E85" s="1" t="s">
        <v>14</v>
      </c>
      <c r="F85">
        <v>1600</v>
      </c>
      <c r="G85" s="1" t="s">
        <v>14</v>
      </c>
      <c r="H85">
        <v>1319.04</v>
      </c>
      <c r="I85" s="1" t="s">
        <v>14</v>
      </c>
      <c r="J85">
        <v>0</v>
      </c>
      <c r="K85" s="1" t="s">
        <v>14</v>
      </c>
      <c r="L85">
        <v>0</v>
      </c>
      <c r="M85" s="1" t="s">
        <v>14</v>
      </c>
      <c r="N85">
        <v>0</v>
      </c>
      <c r="O85" s="1" t="s">
        <v>14</v>
      </c>
      <c r="P85">
        <v>1319.04</v>
      </c>
      <c r="Q85" s="1" t="s">
        <v>14</v>
      </c>
      <c r="R85">
        <v>280.96000000000004</v>
      </c>
      <c r="S85" s="1" t="s">
        <v>14</v>
      </c>
      <c r="T85">
        <v>56.192000000000007</v>
      </c>
      <c r="U85" s="1" t="s">
        <v>14</v>
      </c>
      <c r="V85">
        <v>21.300339640950998</v>
      </c>
      <c r="W85" s="1" t="s">
        <v>14</v>
      </c>
      <c r="X85">
        <v>5276.1600000000035</v>
      </c>
      <c r="Y85" s="1" t="s">
        <v>12</v>
      </c>
      <c r="Z85" s="1" t="str">
        <f t="shared" si="1"/>
        <v>&lt;tr&gt; &lt;td&gt;7494234&lt;/td&gt;&lt;td&gt;SERVO SUP.MULT.GRD 20W-40-4x5L - HDPE&lt;/td&gt;&lt;td&gt;1600&lt;/td&gt;&lt;td&gt;1319.04&lt;/td&gt;&lt;td&gt;0&lt;/td&gt;&lt;td&gt;0&lt;/td&gt;&lt;td&gt;0&lt;/td&gt;&lt;td&gt;1319.04&lt;/td&gt;&lt;td&gt;280.96&lt;/td&gt;&lt;td&gt;56.192&lt;/td&gt;&lt;td&gt;21.300339640951&lt;/td&gt;&lt;td&gt;5276.16&lt;/td&gt;&lt;/tr&gt;</v>
      </c>
    </row>
    <row r="86" spans="1:26" x14ac:dyDescent="0.3">
      <c r="A86" s="1" t="s">
        <v>13</v>
      </c>
      <c r="B86">
        <v>7494242</v>
      </c>
      <c r="C86" s="1" t="s">
        <v>14</v>
      </c>
      <c r="D86" t="s">
        <v>183</v>
      </c>
      <c r="E86" s="1" t="s">
        <v>14</v>
      </c>
      <c r="F86">
        <v>3170</v>
      </c>
      <c r="G86" s="1" t="s">
        <v>14</v>
      </c>
      <c r="H86">
        <v>2616.201</v>
      </c>
      <c r="I86" s="1" t="s">
        <v>14</v>
      </c>
      <c r="J86">
        <v>0</v>
      </c>
      <c r="K86" s="1" t="s">
        <v>14</v>
      </c>
      <c r="L86">
        <v>0</v>
      </c>
      <c r="M86" s="1" t="s">
        <v>14</v>
      </c>
      <c r="N86">
        <v>0</v>
      </c>
      <c r="O86" s="1" t="s">
        <v>14</v>
      </c>
      <c r="P86">
        <v>2616.2009999999996</v>
      </c>
      <c r="Q86" s="1" t="s">
        <v>14</v>
      </c>
      <c r="R86">
        <v>553.79900000000043</v>
      </c>
      <c r="S86" s="1" t="s">
        <v>14</v>
      </c>
      <c r="T86">
        <v>55.379900000000021</v>
      </c>
      <c r="U86" s="1" t="s">
        <v>14</v>
      </c>
      <c r="V86">
        <v>21.168060099357831</v>
      </c>
      <c r="W86" s="1" t="s">
        <v>14</v>
      </c>
      <c r="X86">
        <v>2616.2010000000009</v>
      </c>
      <c r="Y86" s="1" t="s">
        <v>12</v>
      </c>
      <c r="Z86" s="1" t="str">
        <f t="shared" si="1"/>
        <v>&lt;tr&gt; &lt;td&gt;7494242&lt;/td&gt;&lt;td&gt;SERVO SUP.MULT.GRD 20W-40-10 L&lt;/td&gt;&lt;td&gt;3170&lt;/td&gt;&lt;td&gt;2616.201&lt;/td&gt;&lt;td&gt;0&lt;/td&gt;&lt;td&gt;0&lt;/td&gt;&lt;td&gt;0&lt;/td&gt;&lt;td&gt;2616.201&lt;/td&gt;&lt;td&gt;553.799&lt;/td&gt;&lt;td&gt;55.3799&lt;/td&gt;&lt;td&gt;21.1680600993578&lt;/td&gt;&lt;td&gt;2616.201&lt;/td&gt;&lt;/tr&gt;</v>
      </c>
    </row>
    <row r="87" spans="1:26" x14ac:dyDescent="0.3">
      <c r="A87" s="1" t="s">
        <v>13</v>
      </c>
      <c r="B87">
        <v>7494251</v>
      </c>
      <c r="C87" s="1" t="s">
        <v>14</v>
      </c>
      <c r="D87" t="s">
        <v>184</v>
      </c>
      <c r="E87" s="1" t="s">
        <v>14</v>
      </c>
      <c r="F87">
        <v>2400</v>
      </c>
      <c r="G87" s="1" t="s">
        <v>14</v>
      </c>
      <c r="H87">
        <v>1973.52</v>
      </c>
      <c r="I87" s="1" t="s">
        <v>14</v>
      </c>
      <c r="J87">
        <v>0</v>
      </c>
      <c r="K87" s="1" t="s">
        <v>14</v>
      </c>
      <c r="L87">
        <v>0</v>
      </c>
      <c r="M87" s="1" t="s">
        <v>14</v>
      </c>
      <c r="N87">
        <v>0</v>
      </c>
      <c r="O87" s="1" t="s">
        <v>14</v>
      </c>
      <c r="P87">
        <v>1973.52</v>
      </c>
      <c r="Q87" s="1" t="s">
        <v>14</v>
      </c>
      <c r="R87">
        <v>426.48</v>
      </c>
      <c r="S87" s="1" t="s">
        <v>14</v>
      </c>
      <c r="T87">
        <v>56.863999999999976</v>
      </c>
      <c r="U87" s="1" t="s">
        <v>14</v>
      </c>
      <c r="V87">
        <v>21.610117961814424</v>
      </c>
      <c r="W87" s="1" t="s">
        <v>14</v>
      </c>
      <c r="X87">
        <v>1973.5200000000013</v>
      </c>
      <c r="Y87" s="1" t="s">
        <v>12</v>
      </c>
      <c r="Z87" s="1" t="str">
        <f t="shared" si="1"/>
        <v>&lt;tr&gt; &lt;td&gt;7494251&lt;/td&gt;&lt;td&gt;SERVO SUP.MULT.GRD 20W-40-7.5 L&lt;/td&gt;&lt;td&gt;2400&lt;/td&gt;&lt;td&gt;1973.52&lt;/td&gt;&lt;td&gt;0&lt;/td&gt;&lt;td&gt;0&lt;/td&gt;&lt;td&gt;0&lt;/td&gt;&lt;td&gt;1973.52&lt;/td&gt;&lt;td&gt;426.48&lt;/td&gt;&lt;td&gt;56.864&lt;/td&gt;&lt;td&gt;21.6101179618144&lt;/td&gt;&lt;td&gt;1973.52&lt;/td&gt;&lt;/tr&gt;</v>
      </c>
    </row>
    <row r="88" spans="1:26" x14ac:dyDescent="0.3">
      <c r="A88" s="1" t="s">
        <v>13</v>
      </c>
      <c r="B88">
        <v>7494265</v>
      </c>
      <c r="C88" s="1" t="s">
        <v>14</v>
      </c>
      <c r="D88" t="s">
        <v>185</v>
      </c>
      <c r="E88" s="1" t="s">
        <v>14</v>
      </c>
      <c r="F88">
        <v>6300</v>
      </c>
      <c r="G88" s="1" t="s">
        <v>14</v>
      </c>
      <c r="H88">
        <v>5220.18</v>
      </c>
      <c r="I88" s="1" t="s">
        <v>14</v>
      </c>
      <c r="J88">
        <v>0</v>
      </c>
      <c r="K88" s="1" t="s">
        <v>14</v>
      </c>
      <c r="L88">
        <v>0</v>
      </c>
      <c r="M88" s="1" t="s">
        <v>14</v>
      </c>
      <c r="N88">
        <v>0</v>
      </c>
      <c r="O88" s="1" t="s">
        <v>14</v>
      </c>
      <c r="P88">
        <v>5220.1800000000012</v>
      </c>
      <c r="Q88" s="1" t="s">
        <v>14</v>
      </c>
      <c r="R88">
        <v>1079.8199999999988</v>
      </c>
      <c r="S88" s="1" t="s">
        <v>14</v>
      </c>
      <c r="T88">
        <v>53.990999999999929</v>
      </c>
      <c r="U88" s="1" t="s">
        <v>14</v>
      </c>
      <c r="V88">
        <v>20.68549360366881</v>
      </c>
      <c r="W88" s="1" t="s">
        <v>14</v>
      </c>
      <c r="X88">
        <v>5220.1800000000048</v>
      </c>
      <c r="Y88" s="1" t="s">
        <v>12</v>
      </c>
      <c r="Z88" s="1" t="str">
        <f t="shared" si="1"/>
        <v>&lt;tr&gt; &lt;td&gt;7494265&lt;/td&gt;&lt;td&gt;SERVO SUP.MULT.GRD 20W-40-20 L&lt;/td&gt;&lt;td&gt;6300&lt;/td&gt;&lt;td&gt;5220.18&lt;/td&gt;&lt;td&gt;0&lt;/td&gt;&lt;td&gt;0&lt;/td&gt;&lt;td&gt;0&lt;/td&gt;&lt;td&gt;5220.18&lt;/td&gt;&lt;td&gt;1079.82&lt;/td&gt;&lt;td&gt;53.9909999999999&lt;/td&gt;&lt;td&gt;20.6854936036688&lt;/td&gt;&lt;td&gt;5220.18&lt;/td&gt;&lt;/tr&gt;</v>
      </c>
    </row>
    <row r="89" spans="1:26" x14ac:dyDescent="0.3">
      <c r="A89" s="1" t="s">
        <v>13</v>
      </c>
      <c r="B89">
        <v>7505195</v>
      </c>
      <c r="C89" s="1" t="s">
        <v>14</v>
      </c>
      <c r="D89" t="s">
        <v>186</v>
      </c>
      <c r="E89" s="1" t="s">
        <v>14</v>
      </c>
      <c r="F89">
        <v>838</v>
      </c>
      <c r="G89" s="1" t="s">
        <v>14</v>
      </c>
      <c r="H89">
        <v>650.37180000000001</v>
      </c>
      <c r="I89" s="1" t="s">
        <v>14</v>
      </c>
      <c r="J89">
        <v>16</v>
      </c>
      <c r="K89" s="1" t="s">
        <v>14</v>
      </c>
      <c r="L89">
        <v>0</v>
      </c>
      <c r="M89" s="1" t="s">
        <v>14</v>
      </c>
      <c r="N89">
        <v>0</v>
      </c>
      <c r="O89" s="1" t="s">
        <v>14</v>
      </c>
      <c r="P89">
        <v>603.17179999999996</v>
      </c>
      <c r="Q89" s="1" t="s">
        <v>14</v>
      </c>
      <c r="R89">
        <v>234.82820000000004</v>
      </c>
      <c r="S89" s="1" t="s">
        <v>14</v>
      </c>
      <c r="T89">
        <v>93.931280000000015</v>
      </c>
      <c r="U89" s="1" t="s">
        <v>14</v>
      </c>
      <c r="V89">
        <v>38.932224616601779</v>
      </c>
      <c r="W89" s="1" t="s">
        <v>14</v>
      </c>
      <c r="X89">
        <v>2412.6871999999998</v>
      </c>
      <c r="Y89" s="1" t="s">
        <v>12</v>
      </c>
      <c r="Z89" s="1" t="str">
        <f t="shared" si="1"/>
        <v>&lt;tr&gt; &lt;td&gt;7505195&lt;/td&gt;&lt;td&gt;SERVO AUTORIKSHAW OIL 20W-40-4X2.5HDPE&lt;/td&gt;&lt;td&gt;838&lt;/td&gt;&lt;td&gt;650.3718&lt;/td&gt;&lt;td&gt;16&lt;/td&gt;&lt;td&gt;0&lt;/td&gt;&lt;td&gt;0&lt;/td&gt;&lt;td&gt;603.1718&lt;/td&gt;&lt;td&gt;234.8282&lt;/td&gt;&lt;td&gt;93.93128&lt;/td&gt;&lt;td&gt;38.9322246166018&lt;/td&gt;&lt;td&gt;2412.6872&lt;/td&gt;&lt;/tr&gt;</v>
      </c>
    </row>
    <row r="90" spans="1:26" x14ac:dyDescent="0.3">
      <c r="A90" s="1" t="s">
        <v>13</v>
      </c>
      <c r="B90">
        <v>7530228</v>
      </c>
      <c r="C90" s="1" t="s">
        <v>14</v>
      </c>
      <c r="D90" t="s">
        <v>187</v>
      </c>
      <c r="E90" s="1" t="s">
        <v>14</v>
      </c>
      <c r="F90">
        <v>378</v>
      </c>
      <c r="G90" s="1" t="s">
        <v>14</v>
      </c>
      <c r="H90">
        <v>307.50299999999999</v>
      </c>
      <c r="I90" s="1" t="s">
        <v>14</v>
      </c>
      <c r="J90">
        <v>0</v>
      </c>
      <c r="K90" s="1" t="s">
        <v>14</v>
      </c>
      <c r="L90">
        <v>0</v>
      </c>
      <c r="M90" s="1" t="s">
        <v>14</v>
      </c>
      <c r="N90">
        <v>0</v>
      </c>
      <c r="O90" s="1" t="s">
        <v>14</v>
      </c>
      <c r="P90">
        <v>307.50299999999993</v>
      </c>
      <c r="Q90" s="1" t="s">
        <v>14</v>
      </c>
      <c r="R90">
        <v>70.497000000000071</v>
      </c>
      <c r="S90" s="1" t="s">
        <v>14</v>
      </c>
      <c r="T90">
        <v>58.747500000000059</v>
      </c>
      <c r="U90" s="1" t="s">
        <v>14</v>
      </c>
      <c r="V90">
        <v>22.925629993853747</v>
      </c>
      <c r="W90" s="1" t="s">
        <v>14</v>
      </c>
      <c r="X90">
        <v>6150.0599999999986</v>
      </c>
      <c r="Y90" s="1" t="s">
        <v>12</v>
      </c>
      <c r="Z90" s="1" t="str">
        <f t="shared" si="1"/>
        <v>&lt;tr&gt; &lt;td&gt;7530228&lt;/td&gt;&lt;td&gt;SERVO CHHAKADA ENG OIL 20W-40-20X1.2L LI&lt;/td&gt;&lt;td&gt;378&lt;/td&gt;&lt;td&gt;307.503&lt;/td&gt;&lt;td&gt;0&lt;/td&gt;&lt;td&gt;0&lt;/td&gt;&lt;td&gt;0&lt;/td&gt;&lt;td&gt;307.503&lt;/td&gt;&lt;td&gt;70.4970000000001&lt;/td&gt;&lt;td&gt;58.7475000000001&lt;/td&gt;&lt;td&gt;22.9256299938537&lt;/td&gt;&lt;td&gt;6150.06&lt;/td&gt;&lt;/tr&gt;</v>
      </c>
    </row>
    <row r="91" spans="1:26" x14ac:dyDescent="0.3">
      <c r="A91" s="1" t="s">
        <v>13</v>
      </c>
      <c r="B91">
        <v>7556184</v>
      </c>
      <c r="C91" s="1" t="s">
        <v>14</v>
      </c>
      <c r="D91" t="s">
        <v>188</v>
      </c>
      <c r="E91" s="1" t="s">
        <v>14</v>
      </c>
      <c r="F91">
        <v>355</v>
      </c>
      <c r="G91" s="1" t="s">
        <v>14</v>
      </c>
      <c r="H91">
        <v>275.97699999999998</v>
      </c>
      <c r="I91" s="1" t="s">
        <v>14</v>
      </c>
      <c r="J91">
        <v>11</v>
      </c>
      <c r="K91" s="1" t="s">
        <v>14</v>
      </c>
      <c r="L91">
        <v>0</v>
      </c>
      <c r="M91" s="1" t="s">
        <v>14</v>
      </c>
      <c r="N91">
        <v>0</v>
      </c>
      <c r="O91" s="1" t="s">
        <v>14</v>
      </c>
      <c r="P91">
        <v>262.99699999999996</v>
      </c>
      <c r="Q91" s="1" t="s">
        <v>14</v>
      </c>
      <c r="R91">
        <v>92.003000000000043</v>
      </c>
      <c r="S91" s="1" t="s">
        <v>14</v>
      </c>
      <c r="T91">
        <v>92.003000000000043</v>
      </c>
      <c r="U91" s="1" t="s">
        <v>14</v>
      </c>
      <c r="V91">
        <v>34.982528317813532</v>
      </c>
      <c r="W91" s="1" t="s">
        <v>14</v>
      </c>
      <c r="X91">
        <v>5259.9400000000032</v>
      </c>
      <c r="Y91" s="1" t="s">
        <v>12</v>
      </c>
      <c r="Z91" s="1" t="str">
        <f t="shared" si="1"/>
        <v>&lt;tr&gt; &lt;td&gt;7556184&lt;/td&gt;&lt;td&gt;SERVO PRIDE TC 15W40 - 20X1L-HDPE&lt;/td&gt;&lt;td&gt;355&lt;/td&gt;&lt;td&gt;275.977&lt;/td&gt;&lt;td&gt;11&lt;/td&gt;&lt;td&gt;0&lt;/td&gt;&lt;td&gt;0&lt;/td&gt;&lt;td&gt;262.997&lt;/td&gt;&lt;td&gt;92.003&lt;/td&gt;&lt;td&gt;92.003&lt;/td&gt;&lt;td&gt;34.9825283178135&lt;/td&gt;&lt;td&gt;5259.94&lt;/td&gt;&lt;/tr&gt;</v>
      </c>
    </row>
    <row r="92" spans="1:26" x14ac:dyDescent="0.3">
      <c r="A92" s="1" t="s">
        <v>13</v>
      </c>
      <c r="B92">
        <v>7556203</v>
      </c>
      <c r="C92" s="1" t="s">
        <v>14</v>
      </c>
      <c r="D92" t="s">
        <v>189</v>
      </c>
      <c r="E92" s="1" t="s">
        <v>14</v>
      </c>
      <c r="F92">
        <v>1045</v>
      </c>
      <c r="G92" s="1" t="s">
        <v>14</v>
      </c>
      <c r="H92">
        <v>817.92149999999992</v>
      </c>
      <c r="I92" s="1" t="s">
        <v>14</v>
      </c>
      <c r="J92">
        <v>48</v>
      </c>
      <c r="K92" s="1" t="s">
        <v>14</v>
      </c>
      <c r="L92">
        <v>0</v>
      </c>
      <c r="M92" s="1" t="s">
        <v>14</v>
      </c>
      <c r="N92">
        <v>0</v>
      </c>
      <c r="O92" s="1" t="s">
        <v>14</v>
      </c>
      <c r="P92">
        <v>648.00149999999985</v>
      </c>
      <c r="Q92" s="1" t="s">
        <v>14</v>
      </c>
      <c r="R92">
        <v>396.99850000000015</v>
      </c>
      <c r="S92" s="1" t="s">
        <v>14</v>
      </c>
      <c r="T92">
        <v>132.33283333333335</v>
      </c>
      <c r="U92" s="1" t="s">
        <v>14</v>
      </c>
      <c r="V92">
        <v>61.265058800018245</v>
      </c>
      <c r="W92" s="1" t="s">
        <v>14</v>
      </c>
      <c r="X92">
        <v>2592.0060000000008</v>
      </c>
      <c r="Y92" s="1" t="s">
        <v>12</v>
      </c>
      <c r="Z92" s="1" t="str">
        <f t="shared" si="1"/>
        <v>&lt;tr&gt; &lt;td&gt;7556203&lt;/td&gt;&lt;td&gt;SERVO PRIDE TC 15W-40 - 4 X 3 L HDPE&lt;/td&gt;&lt;td&gt;1045&lt;/td&gt;&lt;td&gt;817.9215&lt;/td&gt;&lt;td&gt;48&lt;/td&gt;&lt;td&gt;0&lt;/td&gt;&lt;td&gt;0&lt;/td&gt;&lt;td&gt;648.0015&lt;/td&gt;&lt;td&gt;396.9985&lt;/td&gt;&lt;td&gt;132.332833333333&lt;/td&gt;&lt;td&gt;61.2650588000182&lt;/td&gt;&lt;td&gt;2592.006&lt;/td&gt;&lt;/tr&gt;</v>
      </c>
    </row>
    <row r="93" spans="1:26" x14ac:dyDescent="0.3">
      <c r="A93" s="1" t="s">
        <v>13</v>
      </c>
      <c r="B93">
        <v>7556204</v>
      </c>
      <c r="C93" s="1" t="s">
        <v>14</v>
      </c>
      <c r="D93" t="s">
        <v>190</v>
      </c>
      <c r="E93" s="1" t="s">
        <v>14</v>
      </c>
      <c r="F93">
        <v>1045</v>
      </c>
      <c r="G93" s="1" t="s">
        <v>14</v>
      </c>
      <c r="H93">
        <v>817.92149999999992</v>
      </c>
      <c r="I93" s="1" t="s">
        <v>14</v>
      </c>
      <c r="J93">
        <v>48</v>
      </c>
      <c r="K93" s="1" t="s">
        <v>14</v>
      </c>
      <c r="L93">
        <v>0</v>
      </c>
      <c r="M93" s="1" t="s">
        <v>14</v>
      </c>
      <c r="N93">
        <v>0</v>
      </c>
      <c r="O93" s="1" t="s">
        <v>14</v>
      </c>
      <c r="P93">
        <v>648.00149999999985</v>
      </c>
      <c r="Q93" s="1" t="s">
        <v>14</v>
      </c>
      <c r="R93">
        <v>396.99850000000015</v>
      </c>
      <c r="S93" s="1" t="s">
        <v>14</v>
      </c>
      <c r="T93">
        <v>132.33283333333335</v>
      </c>
      <c r="U93" s="1" t="s">
        <v>14</v>
      </c>
      <c r="V93">
        <v>61.265058800018245</v>
      </c>
      <c r="W93" s="1" t="s">
        <v>14</v>
      </c>
      <c r="X93">
        <v>2592.0059999999994</v>
      </c>
      <c r="Y93" s="1" t="s">
        <v>12</v>
      </c>
      <c r="Z93" s="1" t="str">
        <f t="shared" si="1"/>
        <v>&lt;tr&gt; &lt;td&gt;7556204&lt;/td&gt;&lt;td&gt;SERVO PRIDE TC 15W40-4X3 L PROMO&lt;/td&gt;&lt;td&gt;1045&lt;/td&gt;&lt;td&gt;817.9215&lt;/td&gt;&lt;td&gt;48&lt;/td&gt;&lt;td&gt;0&lt;/td&gt;&lt;td&gt;0&lt;/td&gt;&lt;td&gt;648.0015&lt;/td&gt;&lt;td&gt;396.9985&lt;/td&gt;&lt;td&gt;132.332833333333&lt;/td&gt;&lt;td&gt;61.2650588000182&lt;/td&gt;&lt;td&gt;2592.006&lt;/td&gt;&lt;/tr&gt;</v>
      </c>
    </row>
    <row r="94" spans="1:26" x14ac:dyDescent="0.3">
      <c r="A94" s="1" t="s">
        <v>13</v>
      </c>
      <c r="B94">
        <v>7556234</v>
      </c>
      <c r="C94" s="1" t="s">
        <v>14</v>
      </c>
      <c r="D94" t="s">
        <v>191</v>
      </c>
      <c r="E94" s="1" t="s">
        <v>14</v>
      </c>
      <c r="F94">
        <v>1725</v>
      </c>
      <c r="G94" s="1" t="s">
        <v>14</v>
      </c>
      <c r="H94">
        <v>1352.4</v>
      </c>
      <c r="I94" s="1" t="s">
        <v>14</v>
      </c>
      <c r="J94">
        <v>21</v>
      </c>
      <c r="K94" s="1" t="s">
        <v>14</v>
      </c>
      <c r="L94">
        <v>0</v>
      </c>
      <c r="M94" s="1" t="s">
        <v>14</v>
      </c>
      <c r="N94">
        <v>0</v>
      </c>
      <c r="O94" s="1" t="s">
        <v>14</v>
      </c>
      <c r="P94">
        <v>1228.5000000000002</v>
      </c>
      <c r="Q94" s="1" t="s">
        <v>14</v>
      </c>
      <c r="R94">
        <v>496.49999999999977</v>
      </c>
      <c r="S94" s="1" t="s">
        <v>14</v>
      </c>
      <c r="T94">
        <v>99.299999999999955</v>
      </c>
      <c r="U94" s="1" t="s">
        <v>14</v>
      </c>
      <c r="V94">
        <v>40.415140415140385</v>
      </c>
      <c r="W94" s="1" t="s">
        <v>14</v>
      </c>
      <c r="X94">
        <v>4914.0000000000045</v>
      </c>
      <c r="Y94" s="1" t="s">
        <v>12</v>
      </c>
      <c r="Z94" s="1" t="str">
        <f t="shared" si="1"/>
        <v>&lt;tr&gt; &lt;td&gt;7556234&lt;/td&gt;&lt;td&gt;SERVO PRIDE TC 15W-40- 4 X 5L&lt;/td&gt;&lt;td&gt;1725&lt;/td&gt;&lt;td&gt;1352.4&lt;/td&gt;&lt;td&gt;21&lt;/td&gt;&lt;td&gt;0&lt;/td&gt;&lt;td&gt;0&lt;/td&gt;&lt;td&gt;1228.5&lt;/td&gt;&lt;td&gt;496.5&lt;/td&gt;&lt;td&gt;99.3&lt;/td&gt;&lt;td&gt;40.4151404151404&lt;/td&gt;&lt;td&gt;4914&lt;/td&gt;&lt;/tr&gt;</v>
      </c>
    </row>
    <row r="95" spans="1:26" x14ac:dyDescent="0.3">
      <c r="A95" s="1" t="s">
        <v>13</v>
      </c>
      <c r="B95">
        <v>7556241</v>
      </c>
      <c r="C95" s="1" t="s">
        <v>14</v>
      </c>
      <c r="D95" t="s">
        <v>192</v>
      </c>
      <c r="E95" s="1" t="s">
        <v>14</v>
      </c>
      <c r="F95">
        <v>3400</v>
      </c>
      <c r="G95" s="1" t="s">
        <v>14</v>
      </c>
      <c r="H95">
        <v>2673.08</v>
      </c>
      <c r="I95" s="1" t="s">
        <v>14</v>
      </c>
      <c r="J95">
        <v>46</v>
      </c>
      <c r="K95" s="1" t="s">
        <v>14</v>
      </c>
      <c r="L95">
        <v>0</v>
      </c>
      <c r="M95" s="1" t="s">
        <v>14</v>
      </c>
      <c r="N95">
        <v>0</v>
      </c>
      <c r="O95" s="1" t="s">
        <v>14</v>
      </c>
      <c r="P95">
        <v>2130.2799999999997</v>
      </c>
      <c r="Q95" s="1" t="s">
        <v>14</v>
      </c>
      <c r="R95">
        <v>1269.7200000000003</v>
      </c>
      <c r="S95" s="1" t="s">
        <v>14</v>
      </c>
      <c r="T95">
        <v>126.97200000000004</v>
      </c>
      <c r="U95" s="1" t="s">
        <v>14</v>
      </c>
      <c r="V95">
        <v>59.603432412640615</v>
      </c>
      <c r="W95" s="1" t="s">
        <v>14</v>
      </c>
      <c r="X95">
        <v>2130.2799999999997</v>
      </c>
      <c r="Y95" s="1" t="s">
        <v>12</v>
      </c>
      <c r="Z95" s="1" t="str">
        <f t="shared" si="1"/>
        <v>&lt;tr&gt; &lt;td&gt;7556241&lt;/td&gt;&lt;td&gt;SERVO PRIDE TC 15W40-10L PROMO&lt;/td&gt;&lt;td&gt;3400&lt;/td&gt;&lt;td&gt;2673.08&lt;/td&gt;&lt;td&gt;46&lt;/td&gt;&lt;td&gt;0&lt;/td&gt;&lt;td&gt;0&lt;/td&gt;&lt;td&gt;2130.28&lt;/td&gt;&lt;td&gt;1269.72&lt;/td&gt;&lt;td&gt;126.972&lt;/td&gt;&lt;td&gt;59.6034324126406&lt;/td&gt;&lt;td&gt;2130.28&lt;/td&gt;&lt;/tr&gt;</v>
      </c>
    </row>
    <row r="96" spans="1:26" x14ac:dyDescent="0.3">
      <c r="A96" s="1" t="s">
        <v>13</v>
      </c>
      <c r="B96">
        <v>7556242</v>
      </c>
      <c r="C96" s="1" t="s">
        <v>14</v>
      </c>
      <c r="D96" t="s">
        <v>193</v>
      </c>
      <c r="E96" s="1" t="s">
        <v>14</v>
      </c>
      <c r="F96">
        <v>3400</v>
      </c>
      <c r="G96" s="1" t="s">
        <v>14</v>
      </c>
      <c r="H96">
        <v>2673.08</v>
      </c>
      <c r="I96" s="1" t="s">
        <v>14</v>
      </c>
      <c r="J96">
        <v>46</v>
      </c>
      <c r="K96" s="1" t="s">
        <v>14</v>
      </c>
      <c r="L96">
        <v>0</v>
      </c>
      <c r="M96" s="1" t="s">
        <v>14</v>
      </c>
      <c r="N96">
        <v>0</v>
      </c>
      <c r="O96" s="1" t="s">
        <v>14</v>
      </c>
      <c r="P96">
        <v>2130.2799999999997</v>
      </c>
      <c r="Q96" s="1" t="s">
        <v>14</v>
      </c>
      <c r="R96">
        <v>1269.7200000000003</v>
      </c>
      <c r="S96" s="1" t="s">
        <v>14</v>
      </c>
      <c r="T96">
        <v>126.97200000000004</v>
      </c>
      <c r="U96" s="1" t="s">
        <v>14</v>
      </c>
      <c r="V96">
        <v>59.603432412640615</v>
      </c>
      <c r="W96" s="1" t="s">
        <v>14</v>
      </c>
      <c r="X96">
        <v>2130.2800000000007</v>
      </c>
      <c r="Y96" s="1" t="s">
        <v>12</v>
      </c>
      <c r="Z96" s="1" t="str">
        <f t="shared" si="1"/>
        <v>&lt;tr&gt; &lt;td&gt;7556242&lt;/td&gt;&lt;td&gt;SERVO PRIDE TC 15W-40 - 10 L BUC&lt;/td&gt;&lt;td&gt;3400&lt;/td&gt;&lt;td&gt;2673.08&lt;/td&gt;&lt;td&gt;46&lt;/td&gt;&lt;td&gt;0&lt;/td&gt;&lt;td&gt;0&lt;/td&gt;&lt;td&gt;2130.28&lt;/td&gt;&lt;td&gt;1269.72&lt;/td&gt;&lt;td&gt;126.972&lt;/td&gt;&lt;td&gt;59.6034324126406&lt;/td&gt;&lt;td&gt;2130.28&lt;/td&gt;&lt;/tr&gt;</v>
      </c>
    </row>
    <row r="97" spans="1:26" x14ac:dyDescent="0.3">
      <c r="A97" s="1" t="s">
        <v>13</v>
      </c>
      <c r="B97">
        <v>7556250</v>
      </c>
      <c r="C97" s="1" t="s">
        <v>14</v>
      </c>
      <c r="D97" t="s">
        <v>194</v>
      </c>
      <c r="E97" s="1" t="s">
        <v>14</v>
      </c>
      <c r="F97">
        <v>2563</v>
      </c>
      <c r="G97" s="1" t="s">
        <v>14</v>
      </c>
      <c r="H97">
        <v>2017.5935999999999</v>
      </c>
      <c r="I97" s="1" t="s">
        <v>14</v>
      </c>
      <c r="J97">
        <v>48</v>
      </c>
      <c r="K97" s="1" t="s">
        <v>14</v>
      </c>
      <c r="L97">
        <v>0</v>
      </c>
      <c r="M97" s="1" t="s">
        <v>14</v>
      </c>
      <c r="N97">
        <v>0</v>
      </c>
      <c r="O97" s="1" t="s">
        <v>14</v>
      </c>
      <c r="P97">
        <v>1592.7936</v>
      </c>
      <c r="Q97" s="1" t="s">
        <v>14</v>
      </c>
      <c r="R97">
        <v>970.20640000000003</v>
      </c>
      <c r="S97" s="1" t="s">
        <v>14</v>
      </c>
      <c r="T97">
        <v>129.36085333333335</v>
      </c>
      <c r="U97" s="1" t="s">
        <v>14</v>
      </c>
      <c r="V97">
        <v>60.912248768453111</v>
      </c>
      <c r="W97" s="1" t="s">
        <v>14</v>
      </c>
      <c r="X97">
        <v>1592.7936</v>
      </c>
      <c r="Y97" s="1" t="s">
        <v>12</v>
      </c>
      <c r="Z97" s="1" t="str">
        <f t="shared" si="1"/>
        <v>&lt;tr&gt; &lt;td&gt;7556250&lt;/td&gt;&lt;td&gt;SERVO PRIDE TC 15W40-7.5L PROMO&lt;/td&gt;&lt;td&gt;2563&lt;/td&gt;&lt;td&gt;2017.5936&lt;/td&gt;&lt;td&gt;48&lt;/td&gt;&lt;td&gt;0&lt;/td&gt;&lt;td&gt;0&lt;/td&gt;&lt;td&gt;1592.7936&lt;/td&gt;&lt;td&gt;970.2064&lt;/td&gt;&lt;td&gt;129.360853333333&lt;/td&gt;&lt;td&gt;60.9122487684531&lt;/td&gt;&lt;td&gt;1592.7936&lt;/td&gt;&lt;/tr&gt;</v>
      </c>
    </row>
    <row r="98" spans="1:26" x14ac:dyDescent="0.3">
      <c r="A98" s="1" t="s">
        <v>13</v>
      </c>
      <c r="B98">
        <v>7556251</v>
      </c>
      <c r="C98" s="1" t="s">
        <v>14</v>
      </c>
      <c r="D98" t="s">
        <v>195</v>
      </c>
      <c r="E98" s="1" t="s">
        <v>14</v>
      </c>
      <c r="F98">
        <v>2563</v>
      </c>
      <c r="G98" s="1" t="s">
        <v>14</v>
      </c>
      <c r="H98">
        <v>2017.5935999999999</v>
      </c>
      <c r="I98" s="1" t="s">
        <v>14</v>
      </c>
      <c r="J98">
        <v>48</v>
      </c>
      <c r="K98" s="1" t="s">
        <v>14</v>
      </c>
      <c r="L98">
        <v>0</v>
      </c>
      <c r="M98" s="1" t="s">
        <v>14</v>
      </c>
      <c r="N98">
        <v>0</v>
      </c>
      <c r="O98" s="1" t="s">
        <v>14</v>
      </c>
      <c r="P98">
        <v>1592.7936</v>
      </c>
      <c r="Q98" s="1" t="s">
        <v>14</v>
      </c>
      <c r="R98">
        <v>970.20640000000003</v>
      </c>
      <c r="S98" s="1" t="s">
        <v>14</v>
      </c>
      <c r="T98">
        <v>129.36085333333335</v>
      </c>
      <c r="U98" s="1" t="s">
        <v>14</v>
      </c>
      <c r="V98">
        <v>60.912248768453111</v>
      </c>
      <c r="W98" s="1" t="s">
        <v>14</v>
      </c>
      <c r="X98">
        <v>1592.7936000000011</v>
      </c>
      <c r="Y98" s="1" t="s">
        <v>12</v>
      </c>
      <c r="Z98" s="1" t="str">
        <f t="shared" si="1"/>
        <v>&lt;tr&gt; &lt;td&gt;7556251&lt;/td&gt;&lt;td&gt;SERVO PRIDE TC 15W40 - 7.5L BUC&lt;/td&gt;&lt;td&gt;2563&lt;/td&gt;&lt;td&gt;2017.5936&lt;/td&gt;&lt;td&gt;48&lt;/td&gt;&lt;td&gt;0&lt;/td&gt;&lt;td&gt;0&lt;/td&gt;&lt;td&gt;1592.7936&lt;/td&gt;&lt;td&gt;970.2064&lt;/td&gt;&lt;td&gt;129.360853333333&lt;/td&gt;&lt;td&gt;60.9122487684531&lt;/td&gt;&lt;td&gt;1592.7936&lt;/td&gt;&lt;/tr&gt;</v>
      </c>
    </row>
    <row r="99" spans="1:26" x14ac:dyDescent="0.3">
      <c r="A99" s="1" t="s">
        <v>13</v>
      </c>
      <c r="B99">
        <v>7556253</v>
      </c>
      <c r="C99" s="1" t="s">
        <v>14</v>
      </c>
      <c r="D99" t="s">
        <v>196</v>
      </c>
      <c r="E99" s="1" t="s">
        <v>14</v>
      </c>
      <c r="F99">
        <v>5025</v>
      </c>
      <c r="G99" s="1" t="s">
        <v>14</v>
      </c>
      <c r="H99">
        <v>3995.3775000000001</v>
      </c>
      <c r="I99" s="1" t="s">
        <v>14</v>
      </c>
      <c r="J99">
        <v>53</v>
      </c>
      <c r="K99" s="1" t="s">
        <v>14</v>
      </c>
      <c r="L99">
        <v>0</v>
      </c>
      <c r="M99" s="1" t="s">
        <v>14</v>
      </c>
      <c r="N99">
        <v>0</v>
      </c>
      <c r="O99" s="1" t="s">
        <v>14</v>
      </c>
      <c r="P99">
        <v>3057.2775000000001</v>
      </c>
      <c r="Q99" s="1" t="s">
        <v>14</v>
      </c>
      <c r="R99">
        <v>1967.7224999999999</v>
      </c>
      <c r="S99" s="1" t="s">
        <v>14</v>
      </c>
      <c r="T99">
        <v>131.1815</v>
      </c>
      <c r="U99" s="1" t="s">
        <v>14</v>
      </c>
      <c r="V99">
        <v>64.361920041605629</v>
      </c>
      <c r="W99" s="1" t="s">
        <v>14</v>
      </c>
      <c r="X99">
        <v>3057.2775000000001</v>
      </c>
      <c r="Y99" s="1" t="s">
        <v>12</v>
      </c>
      <c r="Z99" s="1" t="str">
        <f t="shared" si="1"/>
        <v>&lt;tr&gt; &lt;td&gt;7556253&lt;/td&gt;&lt;td&gt;SERVO PRIDE TC 15W40-15L PROMO&lt;/td&gt;&lt;td&gt;5025&lt;/td&gt;&lt;td&gt;3995.3775&lt;/td&gt;&lt;td&gt;53&lt;/td&gt;&lt;td&gt;0&lt;/td&gt;&lt;td&gt;0&lt;/td&gt;&lt;td&gt;3057.2775&lt;/td&gt;&lt;td&gt;1967.7225&lt;/td&gt;&lt;td&gt;131.1815&lt;/td&gt;&lt;td&gt;64.3619200416056&lt;/td&gt;&lt;td&gt;3057.2775&lt;/td&gt;&lt;/tr&gt;</v>
      </c>
    </row>
    <row r="100" spans="1:26" x14ac:dyDescent="0.3">
      <c r="A100" s="1" t="s">
        <v>13</v>
      </c>
      <c r="B100">
        <v>7556265</v>
      </c>
      <c r="C100" s="1" t="s">
        <v>14</v>
      </c>
      <c r="D100" t="s">
        <v>197</v>
      </c>
      <c r="E100" s="1" t="s">
        <v>14</v>
      </c>
      <c r="F100">
        <v>6700</v>
      </c>
      <c r="G100" s="1" t="s">
        <v>14</v>
      </c>
      <c r="H100">
        <v>5315.78</v>
      </c>
      <c r="I100" s="1" t="s">
        <v>14</v>
      </c>
      <c r="J100">
        <v>43</v>
      </c>
      <c r="K100" s="1" t="s">
        <v>14</v>
      </c>
      <c r="L100">
        <v>0</v>
      </c>
      <c r="M100" s="1" t="s">
        <v>14</v>
      </c>
      <c r="N100">
        <v>0</v>
      </c>
      <c r="O100" s="1" t="s">
        <v>14</v>
      </c>
      <c r="P100">
        <v>4300.9799999999996</v>
      </c>
      <c r="Q100" s="1" t="s">
        <v>14</v>
      </c>
      <c r="R100">
        <v>2399.0200000000004</v>
      </c>
      <c r="S100" s="1" t="s">
        <v>14</v>
      </c>
      <c r="T100">
        <v>119.95100000000002</v>
      </c>
      <c r="U100" s="1" t="s">
        <v>14</v>
      </c>
      <c r="V100">
        <v>55.778450492678431</v>
      </c>
      <c r="W100" s="1" t="s">
        <v>14</v>
      </c>
      <c r="X100">
        <v>4300.9800000000023</v>
      </c>
      <c r="Y100" s="1" t="s">
        <v>12</v>
      </c>
      <c r="Z100" s="1" t="str">
        <f t="shared" si="1"/>
        <v>&lt;tr&gt; &lt;td&gt;7556265&lt;/td&gt;&lt;td&gt;SERVO PRIDE TC 15W40 - 20L BUC&lt;/td&gt;&lt;td&gt;6700&lt;/td&gt;&lt;td&gt;5315.78&lt;/td&gt;&lt;td&gt;43&lt;/td&gt;&lt;td&gt;0&lt;/td&gt;&lt;td&gt;0&lt;/td&gt;&lt;td&gt;4300.98&lt;/td&gt;&lt;td&gt;2399.02&lt;/td&gt;&lt;td&gt;119.951&lt;/td&gt;&lt;td&gt;55.7784504926784&lt;/td&gt;&lt;td&gt;4300.98&lt;/td&gt;&lt;/tr&gt;</v>
      </c>
    </row>
    <row r="101" spans="1:26" x14ac:dyDescent="0.3">
      <c r="A101" s="1" t="s">
        <v>13</v>
      </c>
      <c r="B101">
        <v>7577174</v>
      </c>
      <c r="C101" s="1" t="s">
        <v>14</v>
      </c>
      <c r="D101" t="s">
        <v>198</v>
      </c>
      <c r="E101" s="1" t="s">
        <v>14</v>
      </c>
      <c r="F101">
        <v>183</v>
      </c>
      <c r="G101" s="1" t="s">
        <v>14</v>
      </c>
      <c r="H101">
        <v>139.22639999999998</v>
      </c>
      <c r="I101" s="1" t="s">
        <v>14</v>
      </c>
      <c r="J101">
        <v>6</v>
      </c>
      <c r="K101" s="1" t="s">
        <v>14</v>
      </c>
      <c r="L101">
        <v>0</v>
      </c>
      <c r="M101" s="1" t="s">
        <v>14</v>
      </c>
      <c r="N101">
        <v>0</v>
      </c>
      <c r="O101" s="1" t="s">
        <v>14</v>
      </c>
      <c r="P101">
        <v>135.68639999999996</v>
      </c>
      <c r="Q101" s="1" t="s">
        <v>14</v>
      </c>
      <c r="R101">
        <v>47.313600000000037</v>
      </c>
      <c r="S101" s="1" t="s">
        <v>14</v>
      </c>
      <c r="T101">
        <v>94.627200000000073</v>
      </c>
      <c r="U101" s="1" t="s">
        <v>14</v>
      </c>
      <c r="V101">
        <v>34.869817461440533</v>
      </c>
      <c r="W101" s="1" t="s">
        <v>14</v>
      </c>
      <c r="X101">
        <v>5427.456000000001</v>
      </c>
      <c r="Y101" s="1" t="s">
        <v>12</v>
      </c>
      <c r="Z101" s="1" t="str">
        <f t="shared" si="1"/>
        <v>&lt;tr&gt; &lt;td&gt;7577174&lt;/td&gt;&lt;td&gt;SERVO PREMIUM CF-4 15W-40-40X1/2L-HDPE&lt;/td&gt;&lt;td&gt;183&lt;/td&gt;&lt;td&gt;139.2264&lt;/td&gt;&lt;td&gt;6&lt;/td&gt;&lt;td&gt;0&lt;/td&gt;&lt;td&gt;0&lt;/td&gt;&lt;td&gt;135.6864&lt;/td&gt;&lt;td&gt;47.3136&lt;/td&gt;&lt;td&gt;94.6272000000001&lt;/td&gt;&lt;td&gt;34.8698174614405&lt;/td&gt;&lt;td&gt;5427.456&lt;/td&gt;&lt;/tr&gt;</v>
      </c>
    </row>
    <row r="102" spans="1:26" x14ac:dyDescent="0.3">
      <c r="A102" s="1" t="s">
        <v>13</v>
      </c>
      <c r="B102">
        <v>7577184</v>
      </c>
      <c r="C102" s="1" t="s">
        <v>14</v>
      </c>
      <c r="D102" t="s">
        <v>199</v>
      </c>
      <c r="E102" s="1" t="s">
        <v>14</v>
      </c>
      <c r="F102">
        <v>345</v>
      </c>
      <c r="G102" s="1" t="s">
        <v>14</v>
      </c>
      <c r="H102">
        <v>270.13499999999999</v>
      </c>
      <c r="I102" s="1" t="s">
        <v>14</v>
      </c>
      <c r="J102">
        <v>6</v>
      </c>
      <c r="K102" s="1" t="s">
        <v>14</v>
      </c>
      <c r="L102">
        <v>0</v>
      </c>
      <c r="M102" s="1" t="s">
        <v>14</v>
      </c>
      <c r="N102">
        <v>0</v>
      </c>
      <c r="O102" s="1" t="s">
        <v>14</v>
      </c>
      <c r="P102">
        <v>263.05500000000001</v>
      </c>
      <c r="Q102" s="1" t="s">
        <v>14</v>
      </c>
      <c r="R102">
        <v>81.944999999999993</v>
      </c>
      <c r="S102" s="1" t="s">
        <v>14</v>
      </c>
      <c r="T102">
        <v>81.944999999999993</v>
      </c>
      <c r="U102" s="1" t="s">
        <v>14</v>
      </c>
      <c r="V102">
        <v>31.151280150538856</v>
      </c>
      <c r="W102" s="1" t="s">
        <v>14</v>
      </c>
      <c r="X102">
        <v>5261.100000000004</v>
      </c>
      <c r="Y102" s="1" t="s">
        <v>12</v>
      </c>
      <c r="Z102" s="1" t="str">
        <f t="shared" si="1"/>
        <v>&lt;tr&gt; &lt;td&gt;7577184&lt;/td&gt;&lt;td&gt;SERVO PREMIUM CF-4 15W-40-20X1L-HDPE&lt;/td&gt;&lt;td&gt;345&lt;/td&gt;&lt;td&gt;270.135&lt;/td&gt;&lt;td&gt;6&lt;/td&gt;&lt;td&gt;0&lt;/td&gt;&lt;td&gt;0&lt;/td&gt;&lt;td&gt;263.055&lt;/td&gt;&lt;td&gt;81.945&lt;/td&gt;&lt;td&gt;81.945&lt;/td&gt;&lt;td&gt;31.1512801505389&lt;/td&gt;&lt;td&gt;5261.1&lt;/td&gt;&lt;/tr&gt;</v>
      </c>
    </row>
    <row r="103" spans="1:26" x14ac:dyDescent="0.3">
      <c r="A103" s="1" t="s">
        <v>13</v>
      </c>
      <c r="B103">
        <v>7577203</v>
      </c>
      <c r="C103" s="1" t="s">
        <v>14</v>
      </c>
      <c r="D103" t="s">
        <v>200</v>
      </c>
      <c r="E103" s="1" t="s">
        <v>14</v>
      </c>
      <c r="F103">
        <v>1025</v>
      </c>
      <c r="G103" s="1" t="s">
        <v>14</v>
      </c>
      <c r="H103">
        <v>799.60249999999996</v>
      </c>
      <c r="I103" s="1" t="s">
        <v>14</v>
      </c>
      <c r="J103">
        <v>21</v>
      </c>
      <c r="K103" s="1" t="s">
        <v>14</v>
      </c>
      <c r="L103">
        <v>0</v>
      </c>
      <c r="M103" s="1" t="s">
        <v>14</v>
      </c>
      <c r="N103">
        <v>0</v>
      </c>
      <c r="O103" s="1" t="s">
        <v>14</v>
      </c>
      <c r="P103">
        <v>725.26250000000005</v>
      </c>
      <c r="Q103" s="1" t="s">
        <v>14</v>
      </c>
      <c r="R103">
        <v>299.73749999999995</v>
      </c>
      <c r="S103" s="1" t="s">
        <v>14</v>
      </c>
      <c r="T103">
        <v>99.912499999999994</v>
      </c>
      <c r="U103" s="1" t="s">
        <v>14</v>
      </c>
      <c r="V103">
        <v>41.328139811447571</v>
      </c>
      <c r="W103" s="1" t="s">
        <v>14</v>
      </c>
      <c r="X103">
        <v>2901.0500000000015</v>
      </c>
      <c r="Y103" s="1" t="s">
        <v>12</v>
      </c>
      <c r="Z103" s="1" t="str">
        <f t="shared" si="1"/>
        <v>&lt;tr&gt; &lt;td&gt;7577203&lt;/td&gt;&lt;td&gt;SERVO PREMIUM CF-4 15W-40-4X3L-HDPE&lt;/td&gt;&lt;td&gt;1025&lt;/td&gt;&lt;td&gt;799.6025&lt;/td&gt;&lt;td&gt;21&lt;/td&gt;&lt;td&gt;0&lt;/td&gt;&lt;td&gt;0&lt;/td&gt;&lt;td&gt;725.2625&lt;/td&gt;&lt;td&gt;299.7375&lt;/td&gt;&lt;td&gt;99.9125&lt;/td&gt;&lt;td&gt;41.3281398114476&lt;/td&gt;&lt;td&gt;2901.05&lt;/td&gt;&lt;/tr&gt;</v>
      </c>
    </row>
    <row r="104" spans="1:26" x14ac:dyDescent="0.3">
      <c r="A104" s="1" t="s">
        <v>13</v>
      </c>
      <c r="B104">
        <v>7577234</v>
      </c>
      <c r="C104" s="1" t="s">
        <v>14</v>
      </c>
      <c r="D104" t="s">
        <v>201</v>
      </c>
      <c r="E104" s="1" t="s">
        <v>14</v>
      </c>
      <c r="F104">
        <v>1695</v>
      </c>
      <c r="G104" s="1" t="s">
        <v>14</v>
      </c>
      <c r="H104">
        <v>1332.27</v>
      </c>
      <c r="I104" s="1" t="s">
        <v>14</v>
      </c>
      <c r="J104">
        <v>33</v>
      </c>
      <c r="K104" s="1" t="s">
        <v>14</v>
      </c>
      <c r="L104">
        <v>0</v>
      </c>
      <c r="M104" s="1" t="s">
        <v>14</v>
      </c>
      <c r="N104">
        <v>0</v>
      </c>
      <c r="O104" s="1" t="s">
        <v>14</v>
      </c>
      <c r="P104">
        <v>1137.57</v>
      </c>
      <c r="Q104" s="1" t="s">
        <v>14</v>
      </c>
      <c r="R104">
        <v>557.43000000000006</v>
      </c>
      <c r="S104" s="1" t="s">
        <v>14</v>
      </c>
      <c r="T104">
        <v>111.48600000000002</v>
      </c>
      <c r="U104" s="1" t="s">
        <v>14</v>
      </c>
      <c r="V104">
        <v>49.001819668240202</v>
      </c>
      <c r="W104" s="1" t="s">
        <v>14</v>
      </c>
      <c r="X104">
        <v>4550.2800000000025</v>
      </c>
      <c r="Y104" s="1" t="s">
        <v>12</v>
      </c>
      <c r="Z104" s="1" t="str">
        <f t="shared" si="1"/>
        <v>&lt;tr&gt; &lt;td&gt;7577234&lt;/td&gt;&lt;td&gt;SERVO PREMIUM CF-4 15W-40-4X5L-HDPE&lt;/td&gt;&lt;td&gt;1695&lt;/td&gt;&lt;td&gt;1332.27&lt;/td&gt;&lt;td&gt;33&lt;/td&gt;&lt;td&gt;0&lt;/td&gt;&lt;td&gt;0&lt;/td&gt;&lt;td&gt;1137.57&lt;/td&gt;&lt;td&gt;557.43&lt;/td&gt;&lt;td&gt;111.486&lt;/td&gt;&lt;td&gt;49.0018196682402&lt;/td&gt;&lt;td&gt;4550.28&lt;/td&gt;&lt;/tr&gt;</v>
      </c>
    </row>
    <row r="105" spans="1:26" x14ac:dyDescent="0.3">
      <c r="A105" s="1" t="s">
        <v>13</v>
      </c>
      <c r="B105">
        <v>7577242</v>
      </c>
      <c r="C105" s="1" t="s">
        <v>14</v>
      </c>
      <c r="D105" t="s">
        <v>202</v>
      </c>
      <c r="E105" s="1" t="s">
        <v>14</v>
      </c>
      <c r="F105">
        <v>3350</v>
      </c>
      <c r="G105" s="1" t="s">
        <v>14</v>
      </c>
      <c r="H105">
        <v>2650.52</v>
      </c>
      <c r="I105" s="1" t="s">
        <v>14</v>
      </c>
      <c r="J105">
        <v>31</v>
      </c>
      <c r="K105" s="1" t="s">
        <v>14</v>
      </c>
      <c r="L105">
        <v>0</v>
      </c>
      <c r="M105" s="1" t="s">
        <v>14</v>
      </c>
      <c r="N105">
        <v>0</v>
      </c>
      <c r="O105" s="1" t="s">
        <v>14</v>
      </c>
      <c r="P105">
        <v>2284.7199999999998</v>
      </c>
      <c r="Q105" s="1" t="s">
        <v>14</v>
      </c>
      <c r="R105">
        <v>1065.2800000000002</v>
      </c>
      <c r="S105" s="1" t="s">
        <v>14</v>
      </c>
      <c r="T105">
        <v>106.52800000000002</v>
      </c>
      <c r="U105" s="1" t="s">
        <v>14</v>
      </c>
      <c r="V105">
        <v>46.626282432858304</v>
      </c>
      <c r="W105" s="1" t="s">
        <v>14</v>
      </c>
      <c r="X105">
        <v>2284.7200000000007</v>
      </c>
      <c r="Y105" s="1" t="s">
        <v>12</v>
      </c>
      <c r="Z105" s="1" t="str">
        <f t="shared" si="1"/>
        <v>&lt;tr&gt; &lt;td&gt;7577242&lt;/td&gt;&lt;td&gt;SERVO PREMIUM CF-4 15W-40-10L BUC&lt;/td&gt;&lt;td&gt;3350&lt;/td&gt;&lt;td&gt;2650.52&lt;/td&gt;&lt;td&gt;31&lt;/td&gt;&lt;td&gt;0&lt;/td&gt;&lt;td&gt;0&lt;/td&gt;&lt;td&gt;2284.72&lt;/td&gt;&lt;td&gt;1065.28&lt;/td&gt;&lt;td&gt;106.528&lt;/td&gt;&lt;td&gt;46.6262824328583&lt;/td&gt;&lt;td&gt;2284.72&lt;/td&gt;&lt;/tr&gt;</v>
      </c>
    </row>
    <row r="106" spans="1:26" x14ac:dyDescent="0.3">
      <c r="A106" s="1" t="s">
        <v>13</v>
      </c>
      <c r="B106">
        <v>7577251</v>
      </c>
      <c r="C106" s="1" t="s">
        <v>14</v>
      </c>
      <c r="D106" t="s">
        <v>203</v>
      </c>
      <c r="E106" s="1" t="s">
        <v>14</v>
      </c>
      <c r="F106">
        <v>2513</v>
      </c>
      <c r="G106" s="1" t="s">
        <v>14</v>
      </c>
      <c r="H106">
        <v>1987.7829999999999</v>
      </c>
      <c r="I106" s="1" t="s">
        <v>14</v>
      </c>
      <c r="J106">
        <v>31</v>
      </c>
      <c r="K106" s="1" t="s">
        <v>14</v>
      </c>
      <c r="L106">
        <v>0</v>
      </c>
      <c r="M106" s="1" t="s">
        <v>14</v>
      </c>
      <c r="N106">
        <v>0</v>
      </c>
      <c r="O106" s="1" t="s">
        <v>14</v>
      </c>
      <c r="P106">
        <v>1713.433</v>
      </c>
      <c r="Q106" s="1" t="s">
        <v>14</v>
      </c>
      <c r="R106">
        <v>799.56700000000001</v>
      </c>
      <c r="S106" s="1" t="s">
        <v>14</v>
      </c>
      <c r="T106">
        <v>106.60893333333334</v>
      </c>
      <c r="U106" s="1" t="s">
        <v>14</v>
      </c>
      <c r="V106">
        <v>46.664620093111317</v>
      </c>
      <c r="W106" s="1" t="s">
        <v>14</v>
      </c>
      <c r="X106">
        <v>1713.4330000000011</v>
      </c>
      <c r="Y106" s="1" t="s">
        <v>12</v>
      </c>
      <c r="Z106" s="1" t="str">
        <f t="shared" si="1"/>
        <v>&lt;tr&gt; &lt;td&gt;7577251&lt;/td&gt;&lt;td&gt;SERVO PREMIUM CF-4 15W-40-7.5 L&lt;/td&gt;&lt;td&gt;2513&lt;/td&gt;&lt;td&gt;1987.783&lt;/td&gt;&lt;td&gt;31&lt;/td&gt;&lt;td&gt;0&lt;/td&gt;&lt;td&gt;0&lt;/td&gt;&lt;td&gt;1713.433&lt;/td&gt;&lt;td&gt;799.567&lt;/td&gt;&lt;td&gt;106.608933333333&lt;/td&gt;&lt;td&gt;46.6646200931113&lt;/td&gt;&lt;td&gt;1713.433&lt;/td&gt;&lt;/tr&gt;</v>
      </c>
    </row>
    <row r="107" spans="1:26" x14ac:dyDescent="0.3">
      <c r="A107" s="1" t="s">
        <v>13</v>
      </c>
      <c r="B107">
        <v>7577256</v>
      </c>
      <c r="C107" s="1" t="s">
        <v>14</v>
      </c>
      <c r="D107" t="s">
        <v>204</v>
      </c>
      <c r="E107" s="1" t="s">
        <v>14</v>
      </c>
      <c r="F107">
        <v>5025</v>
      </c>
      <c r="G107" s="1" t="s">
        <v>14</v>
      </c>
      <c r="H107">
        <v>3967.2375000000002</v>
      </c>
      <c r="I107" s="1" t="s">
        <v>14</v>
      </c>
      <c r="J107">
        <v>26</v>
      </c>
      <c r="K107" s="1" t="s">
        <v>14</v>
      </c>
      <c r="L107">
        <v>0</v>
      </c>
      <c r="M107" s="1" t="s">
        <v>14</v>
      </c>
      <c r="N107">
        <v>0</v>
      </c>
      <c r="O107" s="1" t="s">
        <v>14</v>
      </c>
      <c r="P107">
        <v>3507.0375000000004</v>
      </c>
      <c r="Q107" s="1" t="s">
        <v>14</v>
      </c>
      <c r="R107">
        <v>1517.9624999999996</v>
      </c>
      <c r="S107" s="1" t="s">
        <v>14</v>
      </c>
      <c r="T107">
        <v>101.19749999999996</v>
      </c>
      <c r="U107" s="1" t="s">
        <v>14</v>
      </c>
      <c r="V107">
        <v>43.283326739448881</v>
      </c>
      <c r="W107" s="1" t="s">
        <v>14</v>
      </c>
      <c r="X107">
        <v>3507.0375000000026</v>
      </c>
      <c r="Y107" s="1" t="s">
        <v>12</v>
      </c>
      <c r="Z107" s="1" t="str">
        <f t="shared" si="1"/>
        <v>&lt;tr&gt; &lt;td&gt;7577256&lt;/td&gt;&lt;td&gt;SERVO PREMIUM CF-4 15W-40-15 L&lt;/td&gt;&lt;td&gt;5025&lt;/td&gt;&lt;td&gt;3967.2375&lt;/td&gt;&lt;td&gt;26&lt;/td&gt;&lt;td&gt;0&lt;/td&gt;&lt;td&gt;0&lt;/td&gt;&lt;td&gt;3507.0375&lt;/td&gt;&lt;td&gt;1517.9625&lt;/td&gt;&lt;td&gt;101.1975&lt;/td&gt;&lt;td&gt;43.2833267394489&lt;/td&gt;&lt;td&gt;3507.0375&lt;/td&gt;&lt;/tr&gt;</v>
      </c>
    </row>
    <row r="108" spans="1:26" x14ac:dyDescent="0.3">
      <c r="A108" s="1" t="s">
        <v>13</v>
      </c>
      <c r="B108">
        <v>7577265</v>
      </c>
      <c r="C108" s="1" t="s">
        <v>14</v>
      </c>
      <c r="D108" t="s">
        <v>205</v>
      </c>
      <c r="E108" s="1" t="s">
        <v>14</v>
      </c>
      <c r="F108">
        <v>6600</v>
      </c>
      <c r="G108" s="1" t="s">
        <v>14</v>
      </c>
      <c r="H108">
        <v>5175.0600000000004</v>
      </c>
      <c r="I108" s="1" t="s">
        <v>14</v>
      </c>
      <c r="J108">
        <v>31</v>
      </c>
      <c r="K108" s="1" t="s">
        <v>14</v>
      </c>
      <c r="L108">
        <v>0</v>
      </c>
      <c r="M108" s="1" t="s">
        <v>14</v>
      </c>
      <c r="N108">
        <v>0</v>
      </c>
      <c r="O108" s="1" t="s">
        <v>14</v>
      </c>
      <c r="P108">
        <v>4443.4600000000009</v>
      </c>
      <c r="Q108" s="1" t="s">
        <v>14</v>
      </c>
      <c r="R108">
        <v>2156.5399999999991</v>
      </c>
      <c r="S108" s="1" t="s">
        <v>14</v>
      </c>
      <c r="T108">
        <v>107.82699999999994</v>
      </c>
      <c r="U108" s="1" t="s">
        <v>14</v>
      </c>
      <c r="V108">
        <v>48.532900037358246</v>
      </c>
      <c r="W108" s="1" t="s">
        <v>14</v>
      </c>
      <c r="X108">
        <v>4443.4600000000037</v>
      </c>
      <c r="Y108" s="1" t="s">
        <v>12</v>
      </c>
      <c r="Z108" s="1" t="str">
        <f t="shared" si="1"/>
        <v>&lt;tr&gt; &lt;td&gt;7577265&lt;/td&gt;&lt;td&gt;SERVO PREMIUM CF 4 15W 40-20L BUC&lt;/td&gt;&lt;td&gt;6600&lt;/td&gt;&lt;td&gt;5175.06&lt;/td&gt;&lt;td&gt;31&lt;/td&gt;&lt;td&gt;0&lt;/td&gt;&lt;td&gt;0&lt;/td&gt;&lt;td&gt;4443.46&lt;/td&gt;&lt;td&gt;2156.54&lt;/td&gt;&lt;td&gt;107.827&lt;/td&gt;&lt;td&gt;48.5329000373582&lt;/td&gt;&lt;td&gt;4443.46&lt;/td&gt;&lt;/tr&gt;</v>
      </c>
    </row>
    <row r="109" spans="1:26" x14ac:dyDescent="0.3">
      <c r="A109" s="1" t="s">
        <v>13</v>
      </c>
      <c r="B109">
        <v>2502174</v>
      </c>
      <c r="C109" s="1" t="s">
        <v>14</v>
      </c>
      <c r="D109" t="s">
        <v>206</v>
      </c>
      <c r="E109" s="1" t="s">
        <v>14</v>
      </c>
      <c r="F109">
        <v>185</v>
      </c>
      <c r="G109" s="1" t="s">
        <v>14</v>
      </c>
      <c r="H109">
        <v>141.96899999999999</v>
      </c>
      <c r="I109" s="1" t="s">
        <v>14</v>
      </c>
      <c r="J109">
        <v>11</v>
      </c>
      <c r="K109" s="1" t="s">
        <v>14</v>
      </c>
      <c r="L109">
        <v>0</v>
      </c>
      <c r="M109" s="1" t="s">
        <v>14</v>
      </c>
      <c r="N109">
        <v>0</v>
      </c>
      <c r="O109" s="1" t="s">
        <v>14</v>
      </c>
      <c r="P109">
        <v>135.47899999999998</v>
      </c>
      <c r="Q109" s="1" t="s">
        <v>14</v>
      </c>
      <c r="R109">
        <v>49.521000000000015</v>
      </c>
      <c r="S109" s="1" t="s">
        <v>14</v>
      </c>
      <c r="T109">
        <v>99.04200000000003</v>
      </c>
      <c r="U109" s="1" t="s">
        <v>14</v>
      </c>
      <c r="V109">
        <v>36.552528436141408</v>
      </c>
      <c r="W109" s="1" t="s">
        <v>14</v>
      </c>
      <c r="X109">
        <v>5419.1600000000026</v>
      </c>
      <c r="Y109" s="1" t="s">
        <v>12</v>
      </c>
      <c r="Z109" s="1" t="str">
        <f t="shared" si="1"/>
        <v>&lt;tr&gt; &lt;td&gt;2502174&lt;/td&gt;&lt;td&gt;SERVO GEAR HP 90-40X1/2L-HDPE&lt;/td&gt;&lt;td&gt;185&lt;/td&gt;&lt;td&gt;141.969&lt;/td&gt;&lt;td&gt;11&lt;/td&gt;&lt;td&gt;0&lt;/td&gt;&lt;td&gt;0&lt;/td&gt;&lt;td&gt;135.479&lt;/td&gt;&lt;td&gt;49.521&lt;/td&gt;&lt;td&gt;99.042&lt;/td&gt;&lt;td&gt;36.5525284361414&lt;/td&gt;&lt;td&gt;5419.16&lt;/td&gt;&lt;/tr&gt;</v>
      </c>
    </row>
    <row r="110" spans="1:26" x14ac:dyDescent="0.3">
      <c r="A110" s="1" t="s">
        <v>13</v>
      </c>
      <c r="B110">
        <v>2502184</v>
      </c>
      <c r="C110" s="1" t="s">
        <v>14</v>
      </c>
      <c r="D110" t="s">
        <v>207</v>
      </c>
      <c r="E110" s="1" t="s">
        <v>14</v>
      </c>
      <c r="F110">
        <v>355</v>
      </c>
      <c r="G110" s="1" t="s">
        <v>14</v>
      </c>
      <c r="H110">
        <v>277.64549999999997</v>
      </c>
      <c r="I110" s="1" t="s">
        <v>14</v>
      </c>
      <c r="J110">
        <v>21</v>
      </c>
      <c r="K110" s="1" t="s">
        <v>14</v>
      </c>
      <c r="L110">
        <v>0</v>
      </c>
      <c r="M110" s="1" t="s">
        <v>14</v>
      </c>
      <c r="N110">
        <v>0</v>
      </c>
      <c r="O110" s="1" t="s">
        <v>14</v>
      </c>
      <c r="P110">
        <v>252.8655</v>
      </c>
      <c r="Q110" s="1" t="s">
        <v>14</v>
      </c>
      <c r="R110">
        <v>102.1345</v>
      </c>
      <c r="S110" s="1" t="s">
        <v>14</v>
      </c>
      <c r="T110">
        <v>102.1345</v>
      </c>
      <c r="U110" s="1" t="s">
        <v>14</v>
      </c>
      <c r="V110">
        <v>40.390840189745141</v>
      </c>
      <c r="W110" s="1" t="s">
        <v>14</v>
      </c>
      <c r="X110">
        <v>5057.3100000000031</v>
      </c>
      <c r="Y110" s="1" t="s">
        <v>12</v>
      </c>
      <c r="Z110" s="1" t="str">
        <f t="shared" si="1"/>
        <v>&lt;tr&gt; &lt;td&gt;2502184&lt;/td&gt;&lt;td&gt;SERVO GEAR HP 90-20X1L-HDPE&lt;/td&gt;&lt;td&gt;355&lt;/td&gt;&lt;td&gt;277.6455&lt;/td&gt;&lt;td&gt;21&lt;/td&gt;&lt;td&gt;0&lt;/td&gt;&lt;td&gt;0&lt;/td&gt;&lt;td&gt;252.8655&lt;/td&gt;&lt;td&gt;102.1345&lt;/td&gt;&lt;td&gt;102.1345&lt;/td&gt;&lt;td&gt;40.3908401897451&lt;/td&gt;&lt;td&gt;5057.31&lt;/td&gt;&lt;/tr&gt;</v>
      </c>
    </row>
    <row r="111" spans="1:26" x14ac:dyDescent="0.3">
      <c r="A111" s="1" t="s">
        <v>13</v>
      </c>
      <c r="B111">
        <v>2502234</v>
      </c>
      <c r="C111" s="1" t="s">
        <v>14</v>
      </c>
      <c r="D111" t="s">
        <v>208</v>
      </c>
      <c r="E111" s="1" t="s">
        <v>14</v>
      </c>
      <c r="F111">
        <v>1745</v>
      </c>
      <c r="G111" s="1" t="s">
        <v>14</v>
      </c>
      <c r="H111">
        <v>1361.4489999999998</v>
      </c>
      <c r="I111" s="1" t="s">
        <v>14</v>
      </c>
      <c r="J111">
        <v>21</v>
      </c>
      <c r="K111" s="1" t="s">
        <v>14</v>
      </c>
      <c r="L111">
        <v>0</v>
      </c>
      <c r="M111" s="1" t="s">
        <v>14</v>
      </c>
      <c r="N111">
        <v>0</v>
      </c>
      <c r="O111" s="1" t="s">
        <v>14</v>
      </c>
      <c r="P111">
        <v>1237.549</v>
      </c>
      <c r="Q111" s="1" t="s">
        <v>14</v>
      </c>
      <c r="R111">
        <v>507.45100000000002</v>
      </c>
      <c r="S111" s="1" t="s">
        <v>14</v>
      </c>
      <c r="T111">
        <v>101.49020000000002</v>
      </c>
      <c r="U111" s="1" t="s">
        <v>14</v>
      </c>
      <c r="V111">
        <v>41.004517800911323</v>
      </c>
      <c r="W111" s="1" t="s">
        <v>14</v>
      </c>
      <c r="X111">
        <v>4950.1960000000036</v>
      </c>
      <c r="Y111" s="1" t="s">
        <v>12</v>
      </c>
      <c r="Z111" s="1" t="str">
        <f t="shared" si="1"/>
        <v>&lt;tr&gt; &lt;td&gt;2502234&lt;/td&gt;&lt;td&gt;SERVO GEAR HP 90 - 4x5L - HDPE&lt;/td&gt;&lt;td&gt;1745&lt;/td&gt;&lt;td&gt;1361.449&lt;/td&gt;&lt;td&gt;21&lt;/td&gt;&lt;td&gt;0&lt;/td&gt;&lt;td&gt;0&lt;/td&gt;&lt;td&gt;1237.549&lt;/td&gt;&lt;td&gt;507.451&lt;/td&gt;&lt;td&gt;101.4902&lt;/td&gt;&lt;td&gt;41.0045178009113&lt;/td&gt;&lt;td&gt;4950.196&lt;/td&gt;&lt;/tr&gt;</v>
      </c>
    </row>
    <row r="112" spans="1:26" x14ac:dyDescent="0.3">
      <c r="A112" s="1" t="s">
        <v>13</v>
      </c>
      <c r="B112">
        <v>2502265</v>
      </c>
      <c r="C112" s="1" t="s">
        <v>14</v>
      </c>
      <c r="D112" t="s">
        <v>209</v>
      </c>
      <c r="E112" s="1" t="s">
        <v>14</v>
      </c>
      <c r="F112">
        <v>6830</v>
      </c>
      <c r="G112" s="1" t="s">
        <v>14</v>
      </c>
      <c r="H112">
        <v>5366.3310000000001</v>
      </c>
      <c r="I112" s="1" t="s">
        <v>14</v>
      </c>
      <c r="J112">
        <v>21</v>
      </c>
      <c r="K112" s="1" t="s">
        <v>14</v>
      </c>
      <c r="L112">
        <v>0</v>
      </c>
      <c r="M112" s="1" t="s">
        <v>14</v>
      </c>
      <c r="N112">
        <v>0</v>
      </c>
      <c r="O112" s="1" t="s">
        <v>14</v>
      </c>
      <c r="P112">
        <v>4870.7309999999998</v>
      </c>
      <c r="Q112" s="1" t="s">
        <v>14</v>
      </c>
      <c r="R112">
        <v>1959.2690000000002</v>
      </c>
      <c r="S112" s="1" t="s">
        <v>14</v>
      </c>
      <c r="T112">
        <v>97.963450000000023</v>
      </c>
      <c r="U112" s="1" t="s">
        <v>14</v>
      </c>
      <c r="V112">
        <v>40.225358370232314</v>
      </c>
      <c r="W112" s="1" t="s">
        <v>14</v>
      </c>
      <c r="X112">
        <v>4870.7310000000034</v>
      </c>
      <c r="Y112" s="1" t="s">
        <v>12</v>
      </c>
      <c r="Z112" s="1" t="str">
        <f t="shared" si="1"/>
        <v>&lt;tr&gt; &lt;td&gt;2502265&lt;/td&gt;&lt;td&gt;SERVO GEAR HP 90-20L BUC&lt;/td&gt;&lt;td&gt;6830&lt;/td&gt;&lt;td&gt;5366.331&lt;/td&gt;&lt;td&gt;21&lt;/td&gt;&lt;td&gt;0&lt;/td&gt;&lt;td&gt;0&lt;/td&gt;&lt;td&gt;4870.731&lt;/td&gt;&lt;td&gt;1959.269&lt;/td&gt;&lt;td&gt;97.96345&lt;/td&gt;&lt;td&gt;40.2253583702323&lt;/td&gt;&lt;td&gt;4870.731&lt;/td&gt;&lt;/tr&gt;</v>
      </c>
    </row>
    <row r="113" spans="1:26" x14ac:dyDescent="0.3">
      <c r="A113" s="1" t="s">
        <v>13</v>
      </c>
      <c r="B113">
        <v>2503184</v>
      </c>
      <c r="C113" s="1" t="s">
        <v>14</v>
      </c>
      <c r="D113" t="s">
        <v>210</v>
      </c>
      <c r="E113" s="1" t="s">
        <v>14</v>
      </c>
      <c r="F113">
        <v>372</v>
      </c>
      <c r="G113" s="1" t="s">
        <v>14</v>
      </c>
      <c r="H113">
        <v>289.416</v>
      </c>
      <c r="I113" s="1" t="s">
        <v>14</v>
      </c>
      <c r="J113">
        <v>16</v>
      </c>
      <c r="K113" s="1" t="s">
        <v>14</v>
      </c>
      <c r="L113">
        <v>0</v>
      </c>
      <c r="M113" s="1" t="s">
        <v>14</v>
      </c>
      <c r="N113">
        <v>0</v>
      </c>
      <c r="O113" s="1" t="s">
        <v>14</v>
      </c>
      <c r="P113">
        <v>270.536</v>
      </c>
      <c r="Q113" s="1" t="s">
        <v>14</v>
      </c>
      <c r="R113">
        <v>101.464</v>
      </c>
      <c r="S113" s="1" t="s">
        <v>14</v>
      </c>
      <c r="T113">
        <v>101.464</v>
      </c>
      <c r="U113" s="1" t="s">
        <v>14</v>
      </c>
      <c r="V113">
        <v>37.504805275453172</v>
      </c>
      <c r="W113" s="1" t="s">
        <v>14</v>
      </c>
      <c r="X113">
        <v>5410.7200000000039</v>
      </c>
      <c r="Y113" s="1" t="s">
        <v>12</v>
      </c>
      <c r="Z113" s="1" t="str">
        <f t="shared" si="1"/>
        <v>&lt;tr&gt; &lt;td&gt;2503184&lt;/td&gt;&lt;td&gt;SERVO GEAR HP 140 - 20x1L - HDPE&lt;/td&gt;&lt;td&gt;372&lt;/td&gt;&lt;td&gt;289.416&lt;/td&gt;&lt;td&gt;16&lt;/td&gt;&lt;td&gt;0&lt;/td&gt;&lt;td&gt;0&lt;/td&gt;&lt;td&gt;270.536&lt;/td&gt;&lt;td&gt;101.464&lt;/td&gt;&lt;td&gt;101.464&lt;/td&gt;&lt;td&gt;37.5048052754532&lt;/td&gt;&lt;td&gt;5410.72&lt;/td&gt;&lt;/tr&gt;</v>
      </c>
    </row>
    <row r="114" spans="1:26" x14ac:dyDescent="0.3">
      <c r="A114" s="1" t="s">
        <v>13</v>
      </c>
      <c r="B114">
        <v>2503234</v>
      </c>
      <c r="C114" s="1" t="s">
        <v>14</v>
      </c>
      <c r="D114" t="s">
        <v>211</v>
      </c>
      <c r="E114" s="1" t="s">
        <v>14</v>
      </c>
      <c r="F114">
        <v>1795</v>
      </c>
      <c r="G114" s="1" t="s">
        <v>14</v>
      </c>
      <c r="H114">
        <v>1418.2295000000001</v>
      </c>
      <c r="I114" s="1" t="s">
        <v>14</v>
      </c>
      <c r="J114">
        <v>16</v>
      </c>
      <c r="K114" s="1" t="s">
        <v>14</v>
      </c>
      <c r="L114">
        <v>0</v>
      </c>
      <c r="M114" s="1" t="s">
        <v>14</v>
      </c>
      <c r="N114">
        <v>0</v>
      </c>
      <c r="O114" s="1" t="s">
        <v>14</v>
      </c>
      <c r="P114">
        <v>1323.8295000000001</v>
      </c>
      <c r="Q114" s="1" t="s">
        <v>14</v>
      </c>
      <c r="R114">
        <v>471.17049999999995</v>
      </c>
      <c r="S114" s="1" t="s">
        <v>14</v>
      </c>
      <c r="T114">
        <v>94.234100000000012</v>
      </c>
      <c r="U114" s="1" t="s">
        <v>14</v>
      </c>
      <c r="V114">
        <v>35.59147911419106</v>
      </c>
      <c r="W114" s="1" t="s">
        <v>14</v>
      </c>
      <c r="X114">
        <v>5295.3180000000038</v>
      </c>
      <c r="Y114" s="1" t="s">
        <v>12</v>
      </c>
      <c r="Z114" s="1" t="str">
        <f t="shared" si="1"/>
        <v>&lt;tr&gt; &lt;td&gt;2503234&lt;/td&gt;&lt;td&gt;SERVO GEAR HP 140 - 4x5L - HDPE&lt;/td&gt;&lt;td&gt;1795&lt;/td&gt;&lt;td&gt;1418.2295&lt;/td&gt;&lt;td&gt;16&lt;/td&gt;&lt;td&gt;0&lt;/td&gt;&lt;td&gt;0&lt;/td&gt;&lt;td&gt;1323.8295&lt;/td&gt;&lt;td&gt;471.1705&lt;/td&gt;&lt;td&gt;94.2341&lt;/td&gt;&lt;td&gt;35.5914791141911&lt;/td&gt;&lt;td&gt;5295.318&lt;/td&gt;&lt;/tr&gt;</v>
      </c>
    </row>
    <row r="115" spans="1:26" x14ac:dyDescent="0.3">
      <c r="A115" s="1" t="s">
        <v>13</v>
      </c>
      <c r="B115">
        <v>2503265</v>
      </c>
      <c r="C115" s="1" t="s">
        <v>14</v>
      </c>
      <c r="D115" t="s">
        <v>212</v>
      </c>
      <c r="E115" s="1" t="s">
        <v>14</v>
      </c>
      <c r="F115">
        <v>7140</v>
      </c>
      <c r="G115" s="1" t="s">
        <v>14</v>
      </c>
      <c r="H115">
        <v>5601.33</v>
      </c>
      <c r="I115" s="1" t="s">
        <v>14</v>
      </c>
      <c r="J115">
        <v>16</v>
      </c>
      <c r="K115" s="1" t="s">
        <v>14</v>
      </c>
      <c r="L115">
        <v>0</v>
      </c>
      <c r="M115" s="1" t="s">
        <v>14</v>
      </c>
      <c r="N115">
        <v>0</v>
      </c>
      <c r="O115" s="1" t="s">
        <v>14</v>
      </c>
      <c r="P115">
        <v>5223.7300000000005</v>
      </c>
      <c r="Q115" s="1" t="s">
        <v>14</v>
      </c>
      <c r="R115">
        <v>1916.2699999999995</v>
      </c>
      <c r="S115" s="1" t="s">
        <v>14</v>
      </c>
      <c r="T115">
        <v>95.813499999999976</v>
      </c>
      <c r="U115" s="1" t="s">
        <v>14</v>
      </c>
      <c r="V115">
        <v>36.683940402739026</v>
      </c>
      <c r="W115" s="1" t="s">
        <v>14</v>
      </c>
      <c r="X115">
        <v>5223.7300000000041</v>
      </c>
      <c r="Y115" s="1" t="s">
        <v>12</v>
      </c>
      <c r="Z115" s="1" t="str">
        <f t="shared" si="1"/>
        <v>&lt;tr&gt; &lt;td&gt;2503265&lt;/td&gt;&lt;td&gt;SERVO GEAR HP 140-20L BUC&lt;/td&gt;&lt;td&gt;7140&lt;/td&gt;&lt;td&gt;5601.33&lt;/td&gt;&lt;td&gt;16&lt;/td&gt;&lt;td&gt;0&lt;/td&gt;&lt;td&gt;0&lt;/td&gt;&lt;td&gt;5223.73&lt;/td&gt;&lt;td&gt;1916.27&lt;/td&gt;&lt;td&gt;95.8135&lt;/td&gt;&lt;td&gt;36.683940402739&lt;/td&gt;&lt;td&gt;5223.73&lt;/td&gt;&lt;/tr&gt;</v>
      </c>
    </row>
    <row r="116" spans="1:26" x14ac:dyDescent="0.3">
      <c r="A116" s="1" t="s">
        <v>13</v>
      </c>
      <c r="B116">
        <v>4906175</v>
      </c>
      <c r="C116" s="1" t="s">
        <v>14</v>
      </c>
      <c r="D116" t="s">
        <v>213</v>
      </c>
      <c r="E116" s="1" t="s">
        <v>14</v>
      </c>
      <c r="F116">
        <v>198</v>
      </c>
      <c r="G116" s="1" t="s">
        <v>14</v>
      </c>
      <c r="H116">
        <v>148.53959999999998</v>
      </c>
      <c r="I116" s="1" t="s">
        <v>14</v>
      </c>
      <c r="J116">
        <v>16</v>
      </c>
      <c r="K116" s="1" t="s">
        <v>14</v>
      </c>
      <c r="L116">
        <v>0</v>
      </c>
      <c r="M116" s="1" t="s">
        <v>14</v>
      </c>
      <c r="N116">
        <v>0</v>
      </c>
      <c r="O116" s="1" t="s">
        <v>14</v>
      </c>
      <c r="P116">
        <v>139.09959999999998</v>
      </c>
      <c r="Q116" s="1" t="s">
        <v>14</v>
      </c>
      <c r="R116">
        <v>58.900400000000019</v>
      </c>
      <c r="S116" s="1" t="s">
        <v>14</v>
      </c>
      <c r="T116">
        <v>117.80080000000004</v>
      </c>
      <c r="U116" s="1" t="s">
        <v>14</v>
      </c>
      <c r="V116">
        <v>42.344046999416264</v>
      </c>
      <c r="W116" s="1" t="s">
        <v>14</v>
      </c>
      <c r="X116">
        <v>2781.9920000000011</v>
      </c>
      <c r="Y116" s="1" t="s">
        <v>12</v>
      </c>
      <c r="Z116" s="1" t="str">
        <f t="shared" si="1"/>
        <v>&lt;tr&gt; &lt;td&gt;4906175&lt;/td&gt;&lt;td&gt;SERVO TRANSFLUID A-20X1/2 L&lt;/td&gt;&lt;td&gt;198&lt;/td&gt;&lt;td&gt;148.5396&lt;/td&gt;&lt;td&gt;16&lt;/td&gt;&lt;td&gt;0&lt;/td&gt;&lt;td&gt;0&lt;/td&gt;&lt;td&gt;139.0996&lt;/td&gt;&lt;td&gt;58.9004&lt;/td&gt;&lt;td&gt;117.8008&lt;/td&gt;&lt;td&gt;42.3440469994163&lt;/td&gt;&lt;td&gt;2781.992&lt;/td&gt;&lt;/tr&gt;</v>
      </c>
    </row>
    <row r="117" spans="1:26" x14ac:dyDescent="0.3">
      <c r="A117" s="1" t="s">
        <v>13</v>
      </c>
      <c r="B117">
        <v>4906184</v>
      </c>
      <c r="C117" s="1" t="s">
        <v>14</v>
      </c>
      <c r="D117" t="s">
        <v>214</v>
      </c>
      <c r="E117" s="1" t="s">
        <v>14</v>
      </c>
      <c r="F117">
        <v>375</v>
      </c>
      <c r="G117" s="1" t="s">
        <v>14</v>
      </c>
      <c r="H117">
        <v>285.41250000000002</v>
      </c>
      <c r="I117" s="1" t="s">
        <v>14</v>
      </c>
      <c r="J117">
        <v>16</v>
      </c>
      <c r="K117" s="1" t="s">
        <v>14</v>
      </c>
      <c r="L117">
        <v>0</v>
      </c>
      <c r="M117" s="1" t="s">
        <v>14</v>
      </c>
      <c r="N117">
        <v>0</v>
      </c>
      <c r="O117" s="1" t="s">
        <v>14</v>
      </c>
      <c r="P117">
        <v>266.53250000000003</v>
      </c>
      <c r="Q117" s="1" t="s">
        <v>14</v>
      </c>
      <c r="R117">
        <v>108.46749999999997</v>
      </c>
      <c r="S117" s="1" t="s">
        <v>14</v>
      </c>
      <c r="T117">
        <v>108.46749999999997</v>
      </c>
      <c r="U117" s="1" t="s">
        <v>14</v>
      </c>
      <c r="V117">
        <v>40.695787568120195</v>
      </c>
      <c r="W117" s="1" t="s">
        <v>14</v>
      </c>
      <c r="X117">
        <v>5330.6500000000042</v>
      </c>
      <c r="Y117" s="1" t="s">
        <v>12</v>
      </c>
      <c r="Z117" s="1" t="str">
        <f t="shared" si="1"/>
        <v>&lt;tr&gt; &lt;td&gt;4906184&lt;/td&gt;&lt;td&gt;SERVO TRANSFLUID A-20X1L-HDPE&lt;/td&gt;&lt;td&gt;375&lt;/td&gt;&lt;td&gt;285.4125&lt;/td&gt;&lt;td&gt;16&lt;/td&gt;&lt;td&gt;0&lt;/td&gt;&lt;td&gt;0&lt;/td&gt;&lt;td&gt;266.5325&lt;/td&gt;&lt;td&gt;108.4675&lt;/td&gt;&lt;td&gt;108.4675&lt;/td&gt;&lt;td&gt;40.6957875681202&lt;/td&gt;&lt;td&gt;5330.65&lt;/td&gt;&lt;/tr&gt;</v>
      </c>
    </row>
    <row r="118" spans="1:26" x14ac:dyDescent="0.3">
      <c r="A118" s="1" t="s">
        <v>13</v>
      </c>
      <c r="B118">
        <v>4906234</v>
      </c>
      <c r="C118" s="1" t="s">
        <v>14</v>
      </c>
      <c r="D118" t="s">
        <v>215</v>
      </c>
      <c r="E118" s="1" t="s">
        <v>14</v>
      </c>
      <c r="F118">
        <v>1775</v>
      </c>
      <c r="G118" s="1" t="s">
        <v>14</v>
      </c>
      <c r="H118">
        <v>1391.9549999999999</v>
      </c>
      <c r="I118" s="1" t="s">
        <v>14</v>
      </c>
      <c r="J118">
        <v>16</v>
      </c>
      <c r="K118" s="1" t="s">
        <v>14</v>
      </c>
      <c r="L118">
        <v>0</v>
      </c>
      <c r="M118" s="1" t="s">
        <v>14</v>
      </c>
      <c r="N118">
        <v>0</v>
      </c>
      <c r="O118" s="1" t="s">
        <v>14</v>
      </c>
      <c r="P118">
        <v>1297.5549999999998</v>
      </c>
      <c r="Q118" s="1" t="s">
        <v>14</v>
      </c>
      <c r="R118">
        <v>477.44500000000016</v>
      </c>
      <c r="S118" s="1" t="s">
        <v>14</v>
      </c>
      <c r="T118">
        <v>95.489000000000033</v>
      </c>
      <c r="U118" s="1" t="s">
        <v>14</v>
      </c>
      <c r="V118">
        <v>36.795742762349207</v>
      </c>
      <c r="W118" s="1" t="s">
        <v>14</v>
      </c>
      <c r="X118">
        <v>5190.220000000003</v>
      </c>
      <c r="Y118" s="1" t="s">
        <v>12</v>
      </c>
      <c r="Z118" s="1" t="str">
        <f t="shared" si="1"/>
        <v>&lt;tr&gt; &lt;td&gt;4906234&lt;/td&gt;&lt;td&gt;SERVO TRANSFLUID A-4X5L-HDPE&lt;/td&gt;&lt;td&gt;1775&lt;/td&gt;&lt;td&gt;1391.955&lt;/td&gt;&lt;td&gt;16&lt;/td&gt;&lt;td&gt;0&lt;/td&gt;&lt;td&gt;0&lt;/td&gt;&lt;td&gt;1297.555&lt;/td&gt;&lt;td&gt;477.445&lt;/td&gt;&lt;td&gt;95.489&lt;/td&gt;&lt;td&gt;36.7957427623492&lt;/td&gt;&lt;td&gt;5190.22&lt;/td&gt;&lt;/tr&gt;</v>
      </c>
    </row>
    <row r="119" spans="1:26" x14ac:dyDescent="0.3">
      <c r="A119" s="1" t="s">
        <v>13</v>
      </c>
      <c r="B119">
        <v>7511184</v>
      </c>
      <c r="C119" s="1" t="s">
        <v>14</v>
      </c>
      <c r="D119" t="s">
        <v>216</v>
      </c>
      <c r="E119" s="1" t="s">
        <v>14</v>
      </c>
      <c r="F119">
        <v>390</v>
      </c>
      <c r="G119" s="1" t="s">
        <v>14</v>
      </c>
      <c r="H119">
        <v>300.26099999999997</v>
      </c>
      <c r="I119" s="1" t="s">
        <v>14</v>
      </c>
      <c r="J119">
        <v>26</v>
      </c>
      <c r="K119" s="1" t="s">
        <v>14</v>
      </c>
      <c r="L119">
        <v>0</v>
      </c>
      <c r="M119" s="1" t="s">
        <v>14</v>
      </c>
      <c r="N119">
        <v>0</v>
      </c>
      <c r="O119" s="1" t="s">
        <v>14</v>
      </c>
      <c r="P119">
        <v>269.58099999999996</v>
      </c>
      <c r="Q119" s="1" t="s">
        <v>14</v>
      </c>
      <c r="R119">
        <v>120.41900000000004</v>
      </c>
      <c r="S119" s="1" t="s">
        <v>14</v>
      </c>
      <c r="T119">
        <v>120.41900000000004</v>
      </c>
      <c r="U119" s="1" t="s">
        <v>14</v>
      </c>
      <c r="V119">
        <v>44.668949221198844</v>
      </c>
      <c r="W119" s="1" t="s">
        <v>14</v>
      </c>
      <c r="X119">
        <v>5391.6200000000026</v>
      </c>
      <c r="Y119" s="1" t="s">
        <v>12</v>
      </c>
      <c r="Z119" s="1" t="str">
        <f t="shared" si="1"/>
        <v>&lt;tr&gt; &lt;td&gt;7511184&lt;/td&gt;&lt;td&gt;SERVO GEAR SUPER 80W-90 - 20 X 1 L HDPE&lt;/td&gt;&lt;td&gt;390&lt;/td&gt;&lt;td&gt;300.261&lt;/td&gt;&lt;td&gt;26&lt;/td&gt;&lt;td&gt;0&lt;/td&gt;&lt;td&gt;0&lt;/td&gt;&lt;td&gt;269.581&lt;/td&gt;&lt;td&gt;120.419&lt;/td&gt;&lt;td&gt;120.419&lt;/td&gt;&lt;td&gt;44.6689492211988&lt;/td&gt;&lt;td&gt;5391.62&lt;/td&gt;&lt;/tr&gt;</v>
      </c>
    </row>
    <row r="120" spans="1:26" x14ac:dyDescent="0.3">
      <c r="A120" s="1" t="s">
        <v>13</v>
      </c>
      <c r="B120">
        <v>7511234</v>
      </c>
      <c r="C120" s="1" t="s">
        <v>14</v>
      </c>
      <c r="D120" t="s">
        <v>217</v>
      </c>
      <c r="E120" s="1" t="s">
        <v>14</v>
      </c>
      <c r="F120">
        <v>1875</v>
      </c>
      <c r="G120" s="1" t="s">
        <v>14</v>
      </c>
      <c r="H120">
        <v>1457.25</v>
      </c>
      <c r="I120" s="1" t="s">
        <v>14</v>
      </c>
      <c r="J120">
        <v>31</v>
      </c>
      <c r="K120" s="1" t="s">
        <v>14</v>
      </c>
      <c r="L120">
        <v>0</v>
      </c>
      <c r="M120" s="1" t="s">
        <v>14</v>
      </c>
      <c r="N120">
        <v>0</v>
      </c>
      <c r="O120" s="1" t="s">
        <v>14</v>
      </c>
      <c r="P120">
        <v>1274.3499999999999</v>
      </c>
      <c r="Q120" s="1" t="s">
        <v>14</v>
      </c>
      <c r="R120">
        <v>600.65000000000009</v>
      </c>
      <c r="S120" s="1" t="s">
        <v>14</v>
      </c>
      <c r="T120">
        <v>120.13000000000002</v>
      </c>
      <c r="U120" s="1" t="s">
        <v>14</v>
      </c>
      <c r="V120">
        <v>47.133832934437173</v>
      </c>
      <c r="W120" s="1" t="s">
        <v>14</v>
      </c>
      <c r="X120">
        <v>5097.4000000000033</v>
      </c>
      <c r="Y120" s="1" t="s">
        <v>12</v>
      </c>
      <c r="Z120" s="1" t="str">
        <f t="shared" si="1"/>
        <v>&lt;tr&gt; &lt;td&gt;7511234&lt;/td&gt;&lt;td&gt;SERVO GEAR SUPER 80W-90 - 4 X 5 L HDPE&lt;/td&gt;&lt;td&gt;1875&lt;/td&gt;&lt;td&gt;1457.25&lt;/td&gt;&lt;td&gt;31&lt;/td&gt;&lt;td&gt;0&lt;/td&gt;&lt;td&gt;0&lt;/td&gt;&lt;td&gt;1274.35&lt;/td&gt;&lt;td&gt;600.65&lt;/td&gt;&lt;td&gt;120.13&lt;/td&gt;&lt;td&gt;47.1338329344372&lt;/td&gt;&lt;td&gt;5097.4&lt;/td&gt;&lt;/tr&gt;</v>
      </c>
    </row>
    <row r="121" spans="1:26" x14ac:dyDescent="0.3">
      <c r="A121" s="1" t="s">
        <v>13</v>
      </c>
      <c r="B121">
        <v>7511240</v>
      </c>
      <c r="C121" s="1" t="s">
        <v>14</v>
      </c>
      <c r="D121" t="s">
        <v>218</v>
      </c>
      <c r="E121" s="1" t="s">
        <v>14</v>
      </c>
      <c r="F121">
        <v>1875</v>
      </c>
      <c r="G121" s="1" t="s">
        <v>14</v>
      </c>
      <c r="H121">
        <v>1457.25</v>
      </c>
      <c r="I121" s="1" t="s">
        <v>14</v>
      </c>
      <c r="J121">
        <v>31</v>
      </c>
      <c r="K121" s="1" t="s">
        <v>14</v>
      </c>
      <c r="L121">
        <v>0</v>
      </c>
      <c r="M121" s="1" t="s">
        <v>14</v>
      </c>
      <c r="N121">
        <v>0</v>
      </c>
      <c r="O121" s="1" t="s">
        <v>14</v>
      </c>
      <c r="P121">
        <v>1274.3499999999999</v>
      </c>
      <c r="Q121" s="1" t="s">
        <v>14</v>
      </c>
      <c r="R121">
        <v>600.65000000000009</v>
      </c>
      <c r="S121" s="1" t="s">
        <v>14</v>
      </c>
      <c r="T121">
        <v>120.13000000000002</v>
      </c>
      <c r="U121" s="1" t="s">
        <v>14</v>
      </c>
      <c r="V121">
        <v>47.133832934437173</v>
      </c>
      <c r="W121" s="1" t="s">
        <v>14</v>
      </c>
      <c r="X121">
        <v>5097.3999999999996</v>
      </c>
      <c r="Y121" s="1" t="s">
        <v>12</v>
      </c>
      <c r="Z121" s="1" t="str">
        <f t="shared" si="1"/>
        <v>&lt;tr&gt; &lt;td&gt;7511240&lt;/td&gt;&lt;td&gt;SERVO GEAR SUPER 80W-90-4 X 5 L PROMO&lt;/td&gt;&lt;td&gt;1875&lt;/td&gt;&lt;td&gt;1457.25&lt;/td&gt;&lt;td&gt;31&lt;/td&gt;&lt;td&gt;0&lt;/td&gt;&lt;td&gt;0&lt;/td&gt;&lt;td&gt;1274.35&lt;/td&gt;&lt;td&gt;600.65&lt;/td&gt;&lt;td&gt;120.13&lt;/td&gt;&lt;td&gt;47.1338329344372&lt;/td&gt;&lt;td&gt;5097.4&lt;/td&gt;&lt;/tr&gt;</v>
      </c>
    </row>
    <row r="122" spans="1:26" x14ac:dyDescent="0.3">
      <c r="A122" s="1" t="s">
        <v>13</v>
      </c>
      <c r="B122">
        <v>7511251</v>
      </c>
      <c r="C122" s="1" t="s">
        <v>14</v>
      </c>
      <c r="D122" t="s">
        <v>219</v>
      </c>
      <c r="E122" s="1" t="s">
        <v>14</v>
      </c>
      <c r="F122">
        <v>2763</v>
      </c>
      <c r="G122" s="1" t="s">
        <v>14</v>
      </c>
      <c r="H122">
        <v>2159.5607999999997</v>
      </c>
      <c r="I122" s="1" t="s">
        <v>14</v>
      </c>
      <c r="J122">
        <v>31</v>
      </c>
      <c r="K122" s="1" t="s">
        <v>14</v>
      </c>
      <c r="L122">
        <v>0</v>
      </c>
      <c r="M122" s="1" t="s">
        <v>14</v>
      </c>
      <c r="N122">
        <v>0</v>
      </c>
      <c r="O122" s="1" t="s">
        <v>14</v>
      </c>
      <c r="P122">
        <v>1885.2107999999998</v>
      </c>
      <c r="Q122" s="1" t="s">
        <v>14</v>
      </c>
      <c r="R122">
        <v>877.78920000000016</v>
      </c>
      <c r="S122" s="1" t="s">
        <v>14</v>
      </c>
      <c r="T122">
        <v>117.03855999999999</v>
      </c>
      <c r="U122" s="1" t="s">
        <v>14</v>
      </c>
      <c r="V122">
        <v>46.561859289157489</v>
      </c>
      <c r="W122" s="1" t="s">
        <v>14</v>
      </c>
      <c r="X122">
        <v>1885.2108000000012</v>
      </c>
      <c r="Y122" s="1" t="s">
        <v>12</v>
      </c>
      <c r="Z122" s="1" t="str">
        <f t="shared" si="1"/>
        <v>&lt;tr&gt; &lt;td&gt;7511251&lt;/td&gt;&lt;td&gt;SERVO GEAR SUPER 80W-90-7.5 L&lt;/td&gt;&lt;td&gt;2763&lt;/td&gt;&lt;td&gt;2159.5608&lt;/td&gt;&lt;td&gt;31&lt;/td&gt;&lt;td&gt;0&lt;/td&gt;&lt;td&gt;0&lt;/td&gt;&lt;td&gt;1885.2108&lt;/td&gt;&lt;td&gt;877.7892&lt;/td&gt;&lt;td&gt;117.03856&lt;/td&gt;&lt;td&gt;46.5618592891575&lt;/td&gt;&lt;td&gt;1885.2108&lt;/td&gt;&lt;/tr&gt;</v>
      </c>
    </row>
    <row r="123" spans="1:26" x14ac:dyDescent="0.3">
      <c r="A123" s="1" t="s">
        <v>13</v>
      </c>
      <c r="B123">
        <v>7511269</v>
      </c>
      <c r="C123" s="1" t="s">
        <v>14</v>
      </c>
      <c r="D123" t="s">
        <v>220</v>
      </c>
      <c r="E123" s="1" t="s">
        <v>14</v>
      </c>
      <c r="F123">
        <v>7200</v>
      </c>
      <c r="G123" s="1" t="s">
        <v>14</v>
      </c>
      <c r="H123">
        <v>5730.48</v>
      </c>
      <c r="I123" s="1" t="s">
        <v>14</v>
      </c>
      <c r="J123">
        <v>46</v>
      </c>
      <c r="K123" s="1" t="s">
        <v>14</v>
      </c>
      <c r="L123">
        <v>0</v>
      </c>
      <c r="M123" s="1" t="s">
        <v>14</v>
      </c>
      <c r="N123">
        <v>0</v>
      </c>
      <c r="O123" s="1" t="s">
        <v>14</v>
      </c>
      <c r="P123">
        <v>4644.88</v>
      </c>
      <c r="Q123" s="1" t="s">
        <v>14</v>
      </c>
      <c r="R123">
        <v>2555.12</v>
      </c>
      <c r="S123" s="1" t="s">
        <v>14</v>
      </c>
      <c r="T123">
        <v>127.756</v>
      </c>
      <c r="U123" s="1" t="s">
        <v>14</v>
      </c>
      <c r="V123">
        <v>55.009386679526706</v>
      </c>
      <c r="W123" s="1" t="s">
        <v>14</v>
      </c>
      <c r="X123">
        <v>4644.88</v>
      </c>
      <c r="Y123" s="1" t="s">
        <v>12</v>
      </c>
      <c r="Z123" s="1" t="str">
        <f t="shared" si="1"/>
        <v>&lt;tr&gt; &lt;td&gt;7511269&lt;/td&gt;&lt;td&gt;SERVO GEAR SUPER 80W-90-20 L PROMO&lt;/td&gt;&lt;td&gt;7200&lt;/td&gt;&lt;td&gt;5730.48&lt;/td&gt;&lt;td&gt;46&lt;/td&gt;&lt;td&gt;0&lt;/td&gt;&lt;td&gt;0&lt;/td&gt;&lt;td&gt;4644.88&lt;/td&gt;&lt;td&gt;2555.12&lt;/td&gt;&lt;td&gt;127.756&lt;/td&gt;&lt;td&gt;55.0093866795267&lt;/td&gt;&lt;td&gt;4644.88&lt;/td&gt;&lt;/tr&gt;</v>
      </c>
    </row>
    <row r="124" spans="1:26" x14ac:dyDescent="0.3">
      <c r="A124" s="1" t="s">
        <v>13</v>
      </c>
      <c r="B124">
        <v>7515184</v>
      </c>
      <c r="C124" s="1" t="s">
        <v>14</v>
      </c>
      <c r="D124" t="s">
        <v>221</v>
      </c>
      <c r="E124" s="1" t="s">
        <v>14</v>
      </c>
      <c r="F124">
        <v>445</v>
      </c>
      <c r="G124" s="1" t="s">
        <v>14</v>
      </c>
      <c r="H124">
        <v>331.92550000000006</v>
      </c>
      <c r="I124" s="1" t="s">
        <v>14</v>
      </c>
      <c r="J124">
        <v>26</v>
      </c>
      <c r="K124" s="1" t="s">
        <v>14</v>
      </c>
      <c r="L124">
        <v>0</v>
      </c>
      <c r="M124" s="1" t="s">
        <v>14</v>
      </c>
      <c r="N124">
        <v>0</v>
      </c>
      <c r="O124" s="1" t="s">
        <v>14</v>
      </c>
      <c r="P124">
        <v>301.24550000000005</v>
      </c>
      <c r="Q124" s="1" t="s">
        <v>14</v>
      </c>
      <c r="R124">
        <v>143.75449999999995</v>
      </c>
      <c r="S124" s="1" t="s">
        <v>14</v>
      </c>
      <c r="T124">
        <v>143.75449999999995</v>
      </c>
      <c r="U124" s="1" t="s">
        <v>14</v>
      </c>
      <c r="V124">
        <v>47.720048930191467</v>
      </c>
      <c r="W124" s="1" t="s">
        <v>14</v>
      </c>
      <c r="X124">
        <v>6024.9100000000053</v>
      </c>
      <c r="Y124" s="1" t="s">
        <v>12</v>
      </c>
      <c r="Z124" s="1" t="str">
        <f t="shared" si="1"/>
        <v>&lt;tr&gt; &lt;td&gt;7515184&lt;/td&gt;&lt;td&gt;SERVO GEAR SUPER 85W-140 - 20 X 1 L HDPE&lt;/td&gt;&lt;td&gt;445&lt;/td&gt;&lt;td&gt;331.9255&lt;/td&gt;&lt;td&gt;26&lt;/td&gt;&lt;td&gt;0&lt;/td&gt;&lt;td&gt;0&lt;/td&gt;&lt;td&gt;301.2455&lt;/td&gt;&lt;td&gt;143.7545&lt;/td&gt;&lt;td&gt;143.7545&lt;/td&gt;&lt;td&gt;47.7200489301915&lt;/td&gt;&lt;td&gt;6024.91000000001&lt;/td&gt;&lt;/tr&gt;</v>
      </c>
    </row>
    <row r="125" spans="1:26" x14ac:dyDescent="0.3">
      <c r="A125" s="1" t="s">
        <v>13</v>
      </c>
      <c r="B125">
        <v>7515240</v>
      </c>
      <c r="C125" s="1" t="s">
        <v>14</v>
      </c>
      <c r="D125" t="s">
        <v>222</v>
      </c>
      <c r="E125" s="1" t="s">
        <v>14</v>
      </c>
      <c r="F125">
        <v>2025</v>
      </c>
      <c r="G125" s="1" t="s">
        <v>14</v>
      </c>
      <c r="H125">
        <v>1603.8</v>
      </c>
      <c r="I125" s="1" t="s">
        <v>14</v>
      </c>
      <c r="J125">
        <v>31</v>
      </c>
      <c r="K125" s="1" t="s">
        <v>14</v>
      </c>
      <c r="L125">
        <v>0</v>
      </c>
      <c r="M125" s="1" t="s">
        <v>14</v>
      </c>
      <c r="N125">
        <v>0</v>
      </c>
      <c r="O125" s="1" t="s">
        <v>14</v>
      </c>
      <c r="P125">
        <v>1420.9</v>
      </c>
      <c r="Q125" s="1" t="s">
        <v>14</v>
      </c>
      <c r="R125">
        <v>604.09999999999991</v>
      </c>
      <c r="S125" s="1" t="s">
        <v>14</v>
      </c>
      <c r="T125">
        <v>120.82</v>
      </c>
      <c r="U125" s="1" t="s">
        <v>14</v>
      </c>
      <c r="V125">
        <v>42.515307199662175</v>
      </c>
      <c r="W125" s="1" t="s">
        <v>14</v>
      </c>
      <c r="X125">
        <v>5683.6</v>
      </c>
      <c r="Y125" s="1" t="s">
        <v>12</v>
      </c>
      <c r="Z125" s="1" t="str">
        <f t="shared" si="1"/>
        <v>&lt;tr&gt; &lt;td&gt;7515240&lt;/td&gt;&lt;td&gt;SERVO GEAR SUPER 85W-140-4 X 5 L PROMO&lt;/td&gt;&lt;td&gt;2025&lt;/td&gt;&lt;td&gt;1603.8&lt;/td&gt;&lt;td&gt;31&lt;/td&gt;&lt;td&gt;0&lt;/td&gt;&lt;td&gt;0&lt;/td&gt;&lt;td&gt;1420.9&lt;/td&gt;&lt;td&gt;604.1&lt;/td&gt;&lt;td&gt;120.82&lt;/td&gt;&lt;td&gt;42.5153071996622&lt;/td&gt;&lt;td&gt;5683.6&lt;/td&gt;&lt;/tr&gt;</v>
      </c>
    </row>
    <row r="126" spans="1:26" x14ac:dyDescent="0.3">
      <c r="A126" s="1" t="s">
        <v>13</v>
      </c>
      <c r="B126">
        <v>7515265</v>
      </c>
      <c r="C126" s="1" t="s">
        <v>14</v>
      </c>
      <c r="D126" t="s">
        <v>223</v>
      </c>
      <c r="E126" s="1" t="s">
        <v>14</v>
      </c>
      <c r="F126">
        <v>7950</v>
      </c>
      <c r="G126" s="1" t="s">
        <v>14</v>
      </c>
      <c r="H126">
        <v>6327.4049999999997</v>
      </c>
      <c r="I126" s="1" t="s">
        <v>14</v>
      </c>
      <c r="J126">
        <v>46</v>
      </c>
      <c r="K126" s="1" t="s">
        <v>14</v>
      </c>
      <c r="L126">
        <v>0</v>
      </c>
      <c r="M126" s="1" t="s">
        <v>14</v>
      </c>
      <c r="N126">
        <v>0</v>
      </c>
      <c r="O126" s="1" t="s">
        <v>14</v>
      </c>
      <c r="P126">
        <v>5241.8050000000003</v>
      </c>
      <c r="Q126" s="1" t="s">
        <v>14</v>
      </c>
      <c r="R126">
        <v>2708.1949999999997</v>
      </c>
      <c r="S126" s="1" t="s">
        <v>14</v>
      </c>
      <c r="T126">
        <v>135.40974999999997</v>
      </c>
      <c r="U126" s="1" t="s">
        <v>14</v>
      </c>
      <c r="V126">
        <v>51.665313761194845</v>
      </c>
      <c r="W126" s="1" t="s">
        <v>14</v>
      </c>
      <c r="X126">
        <v>5241.8050000000039</v>
      </c>
      <c r="Y126" s="1" t="s">
        <v>12</v>
      </c>
      <c r="Z126" s="1" t="str">
        <f t="shared" si="1"/>
        <v>&lt;tr&gt; &lt;td&gt;7515265&lt;/td&gt;&lt;td&gt;SERVO GEAR SUPER 85W-140-20 L BUC&lt;/td&gt;&lt;td&gt;7950&lt;/td&gt;&lt;td&gt;6327.405&lt;/td&gt;&lt;td&gt;46&lt;/td&gt;&lt;td&gt;0&lt;/td&gt;&lt;td&gt;0&lt;/td&gt;&lt;td&gt;5241.805&lt;/td&gt;&lt;td&gt;2708.195&lt;/td&gt;&lt;td&gt;135.40975&lt;/td&gt;&lt;td&gt;51.6653137611948&lt;/td&gt;&lt;td&gt;5241.805&lt;/td&gt;&lt;/tr&gt;</v>
      </c>
    </row>
    <row r="127" spans="1:26" x14ac:dyDescent="0.3">
      <c r="A127" s="1" t="s">
        <v>13</v>
      </c>
      <c r="B127">
        <v>7515269</v>
      </c>
      <c r="C127" s="1" t="s">
        <v>14</v>
      </c>
      <c r="D127" t="s">
        <v>224</v>
      </c>
      <c r="E127" s="1" t="s">
        <v>14</v>
      </c>
      <c r="F127">
        <v>7950</v>
      </c>
      <c r="G127" s="1" t="s">
        <v>14</v>
      </c>
      <c r="H127">
        <v>6327.4049999999997</v>
      </c>
      <c r="I127" s="1" t="s">
        <v>14</v>
      </c>
      <c r="J127">
        <v>46</v>
      </c>
      <c r="K127" s="1" t="s">
        <v>14</v>
      </c>
      <c r="L127">
        <v>0</v>
      </c>
      <c r="M127" s="1" t="s">
        <v>14</v>
      </c>
      <c r="N127">
        <v>0</v>
      </c>
      <c r="O127" s="1" t="s">
        <v>14</v>
      </c>
      <c r="P127">
        <v>5241.8050000000003</v>
      </c>
      <c r="Q127" s="1" t="s">
        <v>14</v>
      </c>
      <c r="R127">
        <v>2708.1949999999997</v>
      </c>
      <c r="S127" s="1" t="s">
        <v>14</v>
      </c>
      <c r="T127">
        <v>135.40974999999997</v>
      </c>
      <c r="U127" s="1" t="s">
        <v>14</v>
      </c>
      <c r="V127">
        <v>51.665313761194845</v>
      </c>
      <c r="W127" s="1" t="s">
        <v>14</v>
      </c>
      <c r="X127">
        <v>5241.8050000000003</v>
      </c>
      <c r="Y127" s="1" t="s">
        <v>12</v>
      </c>
      <c r="Z127" s="1" t="str">
        <f t="shared" si="1"/>
        <v>&lt;tr&gt; &lt;td&gt;7515269&lt;/td&gt;&lt;td&gt;SERVO GEAR SUPER 85W-140-20 L PROMO&lt;/td&gt;&lt;td&gt;7950&lt;/td&gt;&lt;td&gt;6327.405&lt;/td&gt;&lt;td&gt;46&lt;/td&gt;&lt;td&gt;0&lt;/td&gt;&lt;td&gt;0&lt;/td&gt;&lt;td&gt;5241.805&lt;/td&gt;&lt;td&gt;2708.195&lt;/td&gt;&lt;td&gt;135.40975&lt;/td&gt;&lt;td&gt;51.6653137611948&lt;/td&gt;&lt;td&gt;5241.805&lt;/td&gt;&lt;/tr&gt;</v>
      </c>
    </row>
    <row r="128" spans="1:26" x14ac:dyDescent="0.3">
      <c r="A128" s="1" t="s">
        <v>13</v>
      </c>
      <c r="B128">
        <v>3723213</v>
      </c>
      <c r="C128" s="1" t="s">
        <v>14</v>
      </c>
      <c r="D128" t="s">
        <v>225</v>
      </c>
      <c r="E128" s="1" t="s">
        <v>14</v>
      </c>
      <c r="F128">
        <v>1123</v>
      </c>
      <c r="G128" s="1" t="s">
        <v>14</v>
      </c>
      <c r="H128">
        <v>866.73140000000012</v>
      </c>
      <c r="I128" s="1" t="s">
        <v>14</v>
      </c>
      <c r="J128">
        <v>16</v>
      </c>
      <c r="K128" s="1" t="s">
        <v>14</v>
      </c>
      <c r="L128">
        <v>0</v>
      </c>
      <c r="M128" s="1" t="s">
        <v>14</v>
      </c>
      <c r="N128">
        <v>0</v>
      </c>
      <c r="O128" s="1" t="s">
        <v>14</v>
      </c>
      <c r="P128">
        <v>800.65140000000008</v>
      </c>
      <c r="Q128" s="1" t="s">
        <v>14</v>
      </c>
      <c r="R128">
        <v>322.34859999999992</v>
      </c>
      <c r="S128" s="1" t="s">
        <v>14</v>
      </c>
      <c r="T128">
        <v>92.099599999999953</v>
      </c>
      <c r="U128" s="1" t="s">
        <v>14</v>
      </c>
      <c r="V128">
        <v>40.260792649585056</v>
      </c>
      <c r="W128" s="1" t="s">
        <v>14</v>
      </c>
      <c r="X128">
        <v>3202.6056000000012</v>
      </c>
      <c r="Y128" s="1" t="s">
        <v>12</v>
      </c>
      <c r="Z128" s="1" t="str">
        <f t="shared" si="1"/>
        <v>&lt;tr&gt; &lt;td&gt;3723213&lt;/td&gt;&lt;td&gt;SERVO PUMP SET OIL 20W-40 - 4x3.5L&lt;/td&gt;&lt;td&gt;1123&lt;/td&gt;&lt;td&gt;866.7314&lt;/td&gt;&lt;td&gt;16&lt;/td&gt;&lt;td&gt;0&lt;/td&gt;&lt;td&gt;0&lt;/td&gt;&lt;td&gt;800.6514&lt;/td&gt;&lt;td&gt;322.3486&lt;/td&gt;&lt;td&gt;92.0996&lt;/td&gt;&lt;td&gt;40.2607926495851&lt;/td&gt;&lt;td&gt;3202.6056&lt;/td&gt;&lt;/tr&gt;</v>
      </c>
    </row>
    <row r="129" spans="1:26" x14ac:dyDescent="0.3">
      <c r="A129" s="1" t="s">
        <v>13</v>
      </c>
      <c r="B129">
        <v>3725213</v>
      </c>
      <c r="C129" s="1" t="s">
        <v>14</v>
      </c>
      <c r="D129" t="s">
        <v>226</v>
      </c>
      <c r="E129" s="1" t="s">
        <v>14</v>
      </c>
      <c r="F129">
        <v>963</v>
      </c>
      <c r="G129" s="1" t="s">
        <v>14</v>
      </c>
      <c r="H129">
        <v>663.50700000000006</v>
      </c>
      <c r="I129" s="1" t="s">
        <v>14</v>
      </c>
      <c r="J129">
        <v>9</v>
      </c>
      <c r="K129" s="1" t="s">
        <v>14</v>
      </c>
      <c r="L129">
        <v>0</v>
      </c>
      <c r="M129" s="1" t="s">
        <v>14</v>
      </c>
      <c r="N129">
        <v>0</v>
      </c>
      <c r="O129" s="1" t="s">
        <v>14</v>
      </c>
      <c r="P129">
        <v>626.3370000000001</v>
      </c>
      <c r="Q129" s="1" t="s">
        <v>14</v>
      </c>
      <c r="R129">
        <v>336.6629999999999</v>
      </c>
      <c r="S129" s="1" t="s">
        <v>14</v>
      </c>
      <c r="T129">
        <v>96.189428571428579</v>
      </c>
      <c r="U129" s="1" t="s">
        <v>14</v>
      </c>
      <c r="V129">
        <v>53.751095656172289</v>
      </c>
      <c r="W129" s="1" t="s">
        <v>14</v>
      </c>
      <c r="X129">
        <v>2505.3480000000009</v>
      </c>
      <c r="Y129" s="1" t="s">
        <v>12</v>
      </c>
      <c r="Z129" s="1" t="str">
        <f t="shared" si="1"/>
        <v>&lt;tr&gt; &lt;td&gt;3725213&lt;/td&gt;&lt;td&gt;SERVO SUPER PUMP SO 40-4x3.5L HDPE&lt;/td&gt;&lt;td&gt;963&lt;/td&gt;&lt;td&gt;663.507&lt;/td&gt;&lt;td&gt;9&lt;/td&gt;&lt;td&gt;0&lt;/td&gt;&lt;td&gt;0&lt;/td&gt;&lt;td&gt;626.337&lt;/td&gt;&lt;td&gt;336.663&lt;/td&gt;&lt;td&gt;96.1894285714286&lt;/td&gt;&lt;td&gt;53.7510956561723&lt;/td&gt;&lt;td&gt;2505.348&lt;/td&gt;&lt;/tr&gt;</v>
      </c>
    </row>
    <row r="130" spans="1:26" x14ac:dyDescent="0.3">
      <c r="A130" s="1" t="s">
        <v>13</v>
      </c>
      <c r="B130">
        <v>4950184</v>
      </c>
      <c r="C130" s="1" t="s">
        <v>14</v>
      </c>
      <c r="D130" t="s">
        <v>227</v>
      </c>
      <c r="E130" s="1" t="s">
        <v>14</v>
      </c>
      <c r="F130">
        <v>340</v>
      </c>
      <c r="G130" s="1" t="s">
        <v>14</v>
      </c>
      <c r="H130">
        <v>264.38400000000001</v>
      </c>
      <c r="I130" s="1" t="s">
        <v>14</v>
      </c>
      <c r="J130">
        <v>26</v>
      </c>
      <c r="K130" s="1" t="s">
        <v>14</v>
      </c>
      <c r="L130">
        <v>0</v>
      </c>
      <c r="M130" s="1" t="s">
        <v>14</v>
      </c>
      <c r="N130">
        <v>0</v>
      </c>
      <c r="O130" s="1" t="s">
        <v>14</v>
      </c>
      <c r="P130">
        <v>233.70400000000004</v>
      </c>
      <c r="Q130" s="1" t="s">
        <v>14</v>
      </c>
      <c r="R130">
        <v>106.29599999999996</v>
      </c>
      <c r="S130" s="1" t="s">
        <v>14</v>
      </c>
      <c r="T130">
        <v>106.29599999999996</v>
      </c>
      <c r="U130" s="1" t="s">
        <v>14</v>
      </c>
      <c r="V130">
        <v>45.483175298668378</v>
      </c>
      <c r="W130" s="1" t="s">
        <v>14</v>
      </c>
      <c r="X130">
        <v>4674.0800000000045</v>
      </c>
      <c r="Y130" s="1" t="s">
        <v>12</v>
      </c>
      <c r="Z130" s="1" t="str">
        <f t="shared" si="1"/>
        <v>&lt;tr&gt; &lt;td&gt;4950184&lt;/td&gt;&lt;td&gt;SERVO OIB OIL-20 X 1 L&lt;/td&gt;&lt;td&gt;340&lt;/td&gt;&lt;td&gt;264.384&lt;/td&gt;&lt;td&gt;26&lt;/td&gt;&lt;td&gt;0&lt;/td&gt;&lt;td&gt;0&lt;/td&gt;&lt;td&gt;233.704&lt;/td&gt;&lt;td&gt;106.296&lt;/td&gt;&lt;td&gt;106.296&lt;/td&gt;&lt;td&gt;45.4831752986684&lt;/td&gt;&lt;td&gt;4674.08&lt;/td&gt;&lt;/tr&gt;</v>
      </c>
    </row>
    <row r="131" spans="1:26" x14ac:dyDescent="0.3">
      <c r="A131" s="1" t="s">
        <v>13</v>
      </c>
      <c r="B131">
        <v>4950234</v>
      </c>
      <c r="C131" s="1" t="s">
        <v>14</v>
      </c>
      <c r="D131" t="s">
        <v>228</v>
      </c>
      <c r="E131" s="1" t="s">
        <v>14</v>
      </c>
      <c r="F131">
        <v>1675</v>
      </c>
      <c r="G131" s="1" t="s">
        <v>14</v>
      </c>
      <c r="H131">
        <v>1298.46</v>
      </c>
      <c r="I131" s="1" t="s">
        <v>14</v>
      </c>
      <c r="J131">
        <v>46</v>
      </c>
      <c r="K131" s="1" t="s">
        <v>14</v>
      </c>
      <c r="L131">
        <v>0</v>
      </c>
      <c r="M131" s="1" t="s">
        <v>14</v>
      </c>
      <c r="N131">
        <v>0</v>
      </c>
      <c r="O131" s="1" t="s">
        <v>14</v>
      </c>
      <c r="P131">
        <v>1027.0600000000002</v>
      </c>
      <c r="Q131" s="1" t="s">
        <v>14</v>
      </c>
      <c r="R131">
        <v>647.93999999999983</v>
      </c>
      <c r="S131" s="1" t="s">
        <v>14</v>
      </c>
      <c r="T131">
        <v>129.58799999999997</v>
      </c>
      <c r="U131" s="1" t="s">
        <v>14</v>
      </c>
      <c r="V131">
        <v>63.086869316300877</v>
      </c>
      <c r="W131" s="1" t="s">
        <v>14</v>
      </c>
      <c r="X131">
        <v>4108.2400000000034</v>
      </c>
      <c r="Y131" s="1" t="s">
        <v>12</v>
      </c>
      <c r="Z131" s="1" t="str">
        <f t="shared" ref="Z131:Z194" si="2">CONCATENATE(A131,B131,C131,D131,E131,F131,G131,H131,I131,J131,K131,L131,M131,N131,O131,P131,Q131,R131,S131,T131,U131,V131,W131,X131,Y131)</f>
        <v>&lt;tr&gt; &lt;td&gt;4950234&lt;/td&gt;&lt;td&gt;SERVO OIB OIL-4x5L - HDPE&lt;/td&gt;&lt;td&gt;1675&lt;/td&gt;&lt;td&gt;1298.46&lt;/td&gt;&lt;td&gt;46&lt;/td&gt;&lt;td&gt;0&lt;/td&gt;&lt;td&gt;0&lt;/td&gt;&lt;td&gt;1027.06&lt;/td&gt;&lt;td&gt;647.94&lt;/td&gt;&lt;td&gt;129.588&lt;/td&gt;&lt;td&gt;63.0868693163009&lt;/td&gt;&lt;td&gt;4108.24&lt;/td&gt;&lt;/tr&gt;</v>
      </c>
    </row>
    <row r="132" spans="1:26" x14ac:dyDescent="0.3">
      <c r="A132" s="1" t="s">
        <v>13</v>
      </c>
      <c r="B132">
        <v>4950269</v>
      </c>
      <c r="C132" s="1" t="s">
        <v>14</v>
      </c>
      <c r="D132" t="s">
        <v>229</v>
      </c>
      <c r="E132" s="1" t="s">
        <v>14</v>
      </c>
      <c r="F132">
        <v>6320</v>
      </c>
      <c r="G132" s="1" t="s">
        <v>14</v>
      </c>
      <c r="H132">
        <v>4999.7520000000004</v>
      </c>
      <c r="I132" s="1" t="s">
        <v>14</v>
      </c>
      <c r="J132">
        <v>41</v>
      </c>
      <c r="K132" s="1" t="s">
        <v>14</v>
      </c>
      <c r="L132">
        <v>0</v>
      </c>
      <c r="M132" s="1" t="s">
        <v>14</v>
      </c>
      <c r="N132">
        <v>0</v>
      </c>
      <c r="O132" s="1" t="s">
        <v>14</v>
      </c>
      <c r="P132">
        <v>4032.152000000001</v>
      </c>
      <c r="Q132" s="1" t="s">
        <v>14</v>
      </c>
      <c r="R132">
        <v>2287.847999999999</v>
      </c>
      <c r="S132" s="1" t="s">
        <v>14</v>
      </c>
      <c r="T132">
        <v>114.39239999999995</v>
      </c>
      <c r="U132" s="1" t="s">
        <v>14</v>
      </c>
      <c r="V132">
        <v>56.740122892192524</v>
      </c>
      <c r="W132" s="1" t="s">
        <v>14</v>
      </c>
      <c r="X132">
        <v>4032.152000000001</v>
      </c>
      <c r="Y132" s="1" t="s">
        <v>12</v>
      </c>
      <c r="Z132" s="1" t="str">
        <f t="shared" si="2"/>
        <v>&lt;tr&gt; &lt;td&gt;4950269&lt;/td&gt;&lt;td&gt;SERVO OIB OIL -20L PROMO&lt;/td&gt;&lt;td&gt;6320&lt;/td&gt;&lt;td&gt;4999.752&lt;/td&gt;&lt;td&gt;41&lt;/td&gt;&lt;td&gt;0&lt;/td&gt;&lt;td&gt;0&lt;/td&gt;&lt;td&gt;4032.152&lt;/td&gt;&lt;td&gt;2287.848&lt;/td&gt;&lt;td&gt;114.3924&lt;/td&gt;&lt;td&gt;56.7401228921925&lt;/td&gt;&lt;td&gt;4032.152&lt;/td&gt;&lt;/tr&gt;</v>
      </c>
    </row>
    <row r="133" spans="1:26" x14ac:dyDescent="0.3">
      <c r="A133" s="1" t="s">
        <v>13</v>
      </c>
      <c r="B133">
        <v>7553213</v>
      </c>
      <c r="C133" s="1" t="s">
        <v>14</v>
      </c>
      <c r="D133" t="s">
        <v>230</v>
      </c>
      <c r="E133" s="1" t="s">
        <v>14</v>
      </c>
      <c r="F133">
        <v>1183</v>
      </c>
      <c r="G133" s="1" t="s">
        <v>14</v>
      </c>
      <c r="H133">
        <v>862.05210000000011</v>
      </c>
      <c r="I133" s="1" t="s">
        <v>14</v>
      </c>
      <c r="J133">
        <v>26</v>
      </c>
      <c r="K133" s="1" t="s">
        <v>14</v>
      </c>
      <c r="L133">
        <v>0</v>
      </c>
      <c r="M133" s="1" t="s">
        <v>14</v>
      </c>
      <c r="N133">
        <v>0</v>
      </c>
      <c r="O133" s="1" t="s">
        <v>14</v>
      </c>
      <c r="P133">
        <v>754.67210000000011</v>
      </c>
      <c r="Q133" s="1" t="s">
        <v>14</v>
      </c>
      <c r="R133">
        <v>428.32789999999989</v>
      </c>
      <c r="S133" s="1" t="s">
        <v>14</v>
      </c>
      <c r="T133">
        <v>122.37939999999998</v>
      </c>
      <c r="U133" s="1" t="s">
        <v>14</v>
      </c>
      <c r="V133">
        <v>56.756821936308476</v>
      </c>
      <c r="W133" s="1" t="s">
        <v>14</v>
      </c>
      <c r="X133">
        <v>3018.6884000000009</v>
      </c>
      <c r="Y133" s="1" t="s">
        <v>12</v>
      </c>
      <c r="Z133" s="1" t="str">
        <f t="shared" si="2"/>
        <v>&lt;tr&gt; &lt;td&gt;7553213&lt;/td&gt;&lt;td&gt;SERVO TILLER SUPER 20W-40-4 X 3.5 L&lt;/td&gt;&lt;td&gt;1183&lt;/td&gt;&lt;td&gt;862.0521&lt;/td&gt;&lt;td&gt;26&lt;/td&gt;&lt;td&gt;0&lt;/td&gt;&lt;td&gt;0&lt;/td&gt;&lt;td&gt;754.6721&lt;/td&gt;&lt;td&gt;428.3279&lt;/td&gt;&lt;td&gt;122.3794&lt;/td&gt;&lt;td&gt;56.7568219363085&lt;/td&gt;&lt;td&gt;3018.6884&lt;/td&gt;&lt;/tr&gt;</v>
      </c>
    </row>
    <row r="134" spans="1:26" x14ac:dyDescent="0.3">
      <c r="A134" s="1" t="s">
        <v>13</v>
      </c>
      <c r="B134">
        <v>7554251</v>
      </c>
      <c r="C134" s="1" t="s">
        <v>14</v>
      </c>
      <c r="D134" t="s">
        <v>231</v>
      </c>
      <c r="E134" s="1" t="s">
        <v>14</v>
      </c>
      <c r="F134">
        <v>2450</v>
      </c>
      <c r="G134" s="1" t="s">
        <v>14</v>
      </c>
      <c r="H134">
        <v>2030.07</v>
      </c>
      <c r="I134" s="1" t="s">
        <v>14</v>
      </c>
      <c r="J134">
        <v>0</v>
      </c>
      <c r="K134" s="1" t="s">
        <v>14</v>
      </c>
      <c r="L134">
        <v>0</v>
      </c>
      <c r="M134" s="1" t="s">
        <v>14</v>
      </c>
      <c r="N134">
        <v>0</v>
      </c>
      <c r="O134" s="1" t="s">
        <v>14</v>
      </c>
      <c r="P134">
        <v>2030.07</v>
      </c>
      <c r="Q134" s="1" t="s">
        <v>14</v>
      </c>
      <c r="R134">
        <v>419.93000000000006</v>
      </c>
      <c r="S134" s="1" t="s">
        <v>14</v>
      </c>
      <c r="T134">
        <v>55.990666666666698</v>
      </c>
      <c r="U134" s="1" t="s">
        <v>14</v>
      </c>
      <c r="V134">
        <v>20.685493603668842</v>
      </c>
      <c r="W134" s="1" t="s">
        <v>14</v>
      </c>
      <c r="X134">
        <v>2030.0700000000013</v>
      </c>
      <c r="Y134" s="1" t="s">
        <v>12</v>
      </c>
      <c r="Z134" s="1" t="str">
        <f t="shared" si="2"/>
        <v>&lt;tr&gt; &lt;td&gt;7554251&lt;/td&gt;&lt;td&gt;SERVO TRCTR OIL PLS 15W40-7.5 L&lt;/td&gt;&lt;td&gt;2450&lt;/td&gt;&lt;td&gt;2030.07&lt;/td&gt;&lt;td&gt;0&lt;/td&gt;&lt;td&gt;0&lt;/td&gt;&lt;td&gt;0&lt;/td&gt;&lt;td&gt;2030.07&lt;/td&gt;&lt;td&gt;419.93&lt;/td&gt;&lt;td&gt;55.9906666666667&lt;/td&gt;&lt;td&gt;20.6854936036688&lt;/td&gt;&lt;td&gt;2030.07&lt;/td&gt;&lt;/tr&gt;</v>
      </c>
    </row>
    <row r="135" spans="1:26" x14ac:dyDescent="0.3">
      <c r="A135" s="1" t="s">
        <v>13</v>
      </c>
      <c r="B135">
        <v>7554252</v>
      </c>
      <c r="C135" s="1" t="s">
        <v>14</v>
      </c>
      <c r="D135" t="s">
        <v>232</v>
      </c>
      <c r="E135" s="1" t="s">
        <v>14</v>
      </c>
      <c r="F135">
        <v>2800</v>
      </c>
      <c r="G135" s="1" t="s">
        <v>14</v>
      </c>
      <c r="H135">
        <v>2303.56</v>
      </c>
      <c r="I135" s="1" t="s">
        <v>14</v>
      </c>
      <c r="J135">
        <v>0</v>
      </c>
      <c r="K135" s="1" t="s">
        <v>14</v>
      </c>
      <c r="L135">
        <v>0</v>
      </c>
      <c r="M135" s="1" t="s">
        <v>14</v>
      </c>
      <c r="N135">
        <v>0</v>
      </c>
      <c r="O135" s="1" t="s">
        <v>14</v>
      </c>
      <c r="P135">
        <v>2303.56</v>
      </c>
      <c r="Q135" s="1" t="s">
        <v>14</v>
      </c>
      <c r="R135">
        <v>496.44000000000005</v>
      </c>
      <c r="S135" s="1" t="s">
        <v>14</v>
      </c>
      <c r="T135">
        <v>58.404705882352971</v>
      </c>
      <c r="U135" s="1" t="s">
        <v>14</v>
      </c>
      <c r="V135">
        <v>21.550990640573723</v>
      </c>
      <c r="W135" s="1" t="s">
        <v>14</v>
      </c>
      <c r="X135">
        <v>2303.56</v>
      </c>
      <c r="Y135" s="1" t="s">
        <v>12</v>
      </c>
      <c r="Z135" s="1" t="str">
        <f t="shared" si="2"/>
        <v>&lt;tr&gt; &lt;td&gt;7554252&lt;/td&gt;&lt;td&gt;SERVO TRCTR OIL PLS 15W40-8.5 L BUC&lt;/td&gt;&lt;td&gt;2800&lt;/td&gt;&lt;td&gt;2303.56&lt;/td&gt;&lt;td&gt;0&lt;/td&gt;&lt;td&gt;0&lt;/td&gt;&lt;td&gt;0&lt;/td&gt;&lt;td&gt;2303.56&lt;/td&gt;&lt;td&gt;496.44&lt;/td&gt;&lt;td&gt;58.404705882353&lt;/td&gt;&lt;td&gt;21.5509906405737&lt;/td&gt;&lt;td&gt;2303.56&lt;/td&gt;&lt;/tr&gt;</v>
      </c>
    </row>
    <row r="136" spans="1:26" x14ac:dyDescent="0.3">
      <c r="A136" s="1" t="s">
        <v>13</v>
      </c>
      <c r="B136">
        <v>7563250</v>
      </c>
      <c r="C136" s="1" t="s">
        <v>14</v>
      </c>
      <c r="D136" t="s">
        <v>233</v>
      </c>
      <c r="E136" s="1" t="s">
        <v>14</v>
      </c>
      <c r="F136">
        <v>2413</v>
      </c>
      <c r="G136" s="1" t="s">
        <v>14</v>
      </c>
      <c r="H136">
        <v>1878.5204999999999</v>
      </c>
      <c r="I136" s="1" t="s">
        <v>14</v>
      </c>
      <c r="J136">
        <v>38</v>
      </c>
      <c r="K136" s="1" t="s">
        <v>14</v>
      </c>
      <c r="L136">
        <v>0</v>
      </c>
      <c r="M136" s="1" t="s">
        <v>14</v>
      </c>
      <c r="N136">
        <v>0</v>
      </c>
      <c r="O136" s="1" t="s">
        <v>14</v>
      </c>
      <c r="P136">
        <v>1542.2204999999999</v>
      </c>
      <c r="Q136" s="1" t="s">
        <v>14</v>
      </c>
      <c r="R136">
        <v>870.7795000000001</v>
      </c>
      <c r="S136" s="1" t="s">
        <v>14</v>
      </c>
      <c r="T136">
        <v>116.10393333333337</v>
      </c>
      <c r="U136" s="1" t="s">
        <v>14</v>
      </c>
      <c r="V136">
        <v>56.462710747263458</v>
      </c>
      <c r="W136" s="1" t="s">
        <v>14</v>
      </c>
      <c r="X136">
        <v>1542.2204999999999</v>
      </c>
      <c r="Y136" s="1" t="s">
        <v>12</v>
      </c>
      <c r="Z136" s="1" t="str">
        <f t="shared" si="2"/>
        <v>&lt;tr&gt; &lt;td&gt;7563250&lt;/td&gt;&lt;td&gt;SERVO TRACTOR OIL MG 20W-40-7.5L PROMO&lt;/td&gt;&lt;td&gt;2413&lt;/td&gt;&lt;td&gt;1878.5205&lt;/td&gt;&lt;td&gt;38&lt;/td&gt;&lt;td&gt;0&lt;/td&gt;&lt;td&gt;0&lt;/td&gt;&lt;td&gt;1542.2205&lt;/td&gt;&lt;td&gt;870.7795&lt;/td&gt;&lt;td&gt;116.103933333333&lt;/td&gt;&lt;td&gt;56.4627107472635&lt;/td&gt;&lt;td&gt;1542.2205&lt;/td&gt;&lt;/tr&gt;</v>
      </c>
    </row>
    <row r="137" spans="1:26" x14ac:dyDescent="0.3">
      <c r="A137" s="1" t="s">
        <v>13</v>
      </c>
      <c r="B137">
        <v>7227251</v>
      </c>
      <c r="C137" s="1" t="s">
        <v>14</v>
      </c>
      <c r="D137" t="s">
        <v>234</v>
      </c>
      <c r="E137" s="1" t="s">
        <v>14</v>
      </c>
      <c r="F137">
        <v>3073</v>
      </c>
      <c r="G137" s="1" t="s">
        <v>14</v>
      </c>
      <c r="H137">
        <v>2280.1660000000002</v>
      </c>
      <c r="I137" s="1" t="s">
        <v>14</v>
      </c>
      <c r="J137">
        <v>51</v>
      </c>
      <c r="K137" s="1" t="s">
        <v>14</v>
      </c>
      <c r="L137">
        <v>0</v>
      </c>
      <c r="M137" s="1" t="s">
        <v>14</v>
      </c>
      <c r="N137">
        <v>0</v>
      </c>
      <c r="O137" s="1" t="s">
        <v>14</v>
      </c>
      <c r="P137">
        <v>1828.8160000000003</v>
      </c>
      <c r="Q137" s="1" t="s">
        <v>14</v>
      </c>
      <c r="R137">
        <v>1244.1839999999997</v>
      </c>
      <c r="S137" s="1" t="s">
        <v>14</v>
      </c>
      <c r="T137">
        <v>165.89119999999997</v>
      </c>
      <c r="U137" s="1" t="s">
        <v>14</v>
      </c>
      <c r="V137">
        <v>68.03221319148561</v>
      </c>
      <c r="W137" s="1" t="s">
        <v>14</v>
      </c>
      <c r="X137">
        <v>1828.8160000000014</v>
      </c>
      <c r="Y137" s="1" t="s">
        <v>12</v>
      </c>
      <c r="Z137" s="1" t="str">
        <f t="shared" si="2"/>
        <v>&lt;tr&gt; &lt;td&gt;7227251&lt;/td&gt;&lt;td&gt;SERVO TRACTOR GREEN-7.5 L&lt;/td&gt;&lt;td&gt;3073&lt;/td&gt;&lt;td&gt;2280.166&lt;/td&gt;&lt;td&gt;51&lt;/td&gt;&lt;td&gt;0&lt;/td&gt;&lt;td&gt;0&lt;/td&gt;&lt;td&gt;1828.816&lt;/td&gt;&lt;td&gt;1244.184&lt;/td&gt;&lt;td&gt;165.8912&lt;/td&gt;&lt;td&gt;68.0322131914856&lt;/td&gt;&lt;td&gt;1828.816&lt;/td&gt;&lt;/tr&gt;</v>
      </c>
    </row>
    <row r="138" spans="1:26" x14ac:dyDescent="0.3">
      <c r="A138" s="1" t="s">
        <v>13</v>
      </c>
      <c r="B138">
        <v>7227252</v>
      </c>
      <c r="C138" s="1" t="s">
        <v>14</v>
      </c>
      <c r="D138" t="s">
        <v>235</v>
      </c>
      <c r="E138" s="1" t="s">
        <v>14</v>
      </c>
      <c r="F138">
        <v>3468</v>
      </c>
      <c r="G138" s="1" t="s">
        <v>14</v>
      </c>
      <c r="H138">
        <v>2574.9899999999998</v>
      </c>
      <c r="I138" s="1" t="s">
        <v>14</v>
      </c>
      <c r="J138">
        <v>56</v>
      </c>
      <c r="K138" s="1" t="s">
        <v>14</v>
      </c>
      <c r="L138">
        <v>0</v>
      </c>
      <c r="M138" s="1" t="s">
        <v>14</v>
      </c>
      <c r="N138">
        <v>0</v>
      </c>
      <c r="O138" s="1" t="s">
        <v>14</v>
      </c>
      <c r="P138">
        <v>2013.3099999999995</v>
      </c>
      <c r="Q138" s="1" t="s">
        <v>14</v>
      </c>
      <c r="R138">
        <v>1454.6900000000005</v>
      </c>
      <c r="S138" s="1" t="s">
        <v>14</v>
      </c>
      <c r="T138">
        <v>171.14000000000007</v>
      </c>
      <c r="U138" s="1" t="s">
        <v>14</v>
      </c>
      <c r="V138">
        <v>72.253651946297438</v>
      </c>
      <c r="W138" s="1" t="s">
        <v>14</v>
      </c>
      <c r="X138">
        <v>2013.3099999999995</v>
      </c>
      <c r="Y138" s="1" t="s">
        <v>12</v>
      </c>
      <c r="Z138" s="1" t="str">
        <f t="shared" si="2"/>
        <v>&lt;tr&gt; &lt;td&gt;7227252&lt;/td&gt;&lt;td&gt;SERVO TRACTOR GREEN-8.5 L&lt;/td&gt;&lt;td&gt;3468&lt;/td&gt;&lt;td&gt;2574.99&lt;/td&gt;&lt;td&gt;56&lt;/td&gt;&lt;td&gt;0&lt;/td&gt;&lt;td&gt;0&lt;/td&gt;&lt;td&gt;2013.31&lt;/td&gt;&lt;td&gt;1454.69&lt;/td&gt;&lt;td&gt;171.14&lt;/td&gt;&lt;td&gt;72.2536519462974&lt;/td&gt;&lt;td&gt;2013.31&lt;/td&gt;&lt;/tr&gt;</v>
      </c>
    </row>
    <row r="139" spans="1:26" x14ac:dyDescent="0.3">
      <c r="A139" s="1" t="s">
        <v>13</v>
      </c>
      <c r="B139">
        <v>7651265</v>
      </c>
      <c r="C139" s="1" t="s">
        <v>14</v>
      </c>
      <c r="D139" t="s">
        <v>236</v>
      </c>
      <c r="E139" s="1" t="s">
        <v>14</v>
      </c>
      <c r="F139">
        <v>5748</v>
      </c>
      <c r="G139" s="1" t="s">
        <v>14</v>
      </c>
      <c r="H139">
        <v>4421.3616000000002</v>
      </c>
      <c r="I139" s="1" t="s">
        <v>14</v>
      </c>
      <c r="J139">
        <v>0</v>
      </c>
      <c r="K139" s="1" t="s">
        <v>14</v>
      </c>
      <c r="L139">
        <v>0</v>
      </c>
      <c r="M139" s="1" t="s">
        <v>14</v>
      </c>
      <c r="N139">
        <v>0</v>
      </c>
      <c r="O139" s="1" t="s">
        <v>14</v>
      </c>
      <c r="P139">
        <v>4421.3616000000002</v>
      </c>
      <c r="Q139" s="1" t="s">
        <v>14</v>
      </c>
      <c r="R139">
        <v>1326.6383999999998</v>
      </c>
      <c r="S139" s="1" t="s">
        <v>14</v>
      </c>
      <c r="T139">
        <v>66.331919999999968</v>
      </c>
      <c r="U139" s="1" t="s">
        <v>14</v>
      </c>
      <c r="V139">
        <v>30.005200208008315</v>
      </c>
      <c r="W139" s="1" t="s">
        <v>14</v>
      </c>
      <c r="X139">
        <v>4421.3616000000029</v>
      </c>
      <c r="Y139" s="1" t="s">
        <v>12</v>
      </c>
      <c r="Z139" s="1" t="str">
        <f t="shared" si="2"/>
        <v>&lt;tr&gt; &lt;td&gt;7651265&lt;/td&gt;&lt;td&gt;SERVO AGROSPRAY T - 20 L BUC&lt;/td&gt;&lt;td&gt;5748&lt;/td&gt;&lt;td&gt;4421.3616&lt;/td&gt;&lt;td&gt;0&lt;/td&gt;&lt;td&gt;0&lt;/td&gt;&lt;td&gt;0&lt;/td&gt;&lt;td&gt;4421.3616&lt;/td&gt;&lt;td&gt;1326.6384&lt;/td&gt;&lt;td&gt;66.33192&lt;/td&gt;&lt;td&gt;30.0052002080083&lt;/td&gt;&lt;td&gt;4421.3616&lt;/td&gt;&lt;/tr&gt;</v>
      </c>
    </row>
    <row r="140" spans="1:26" x14ac:dyDescent="0.3">
      <c r="A140" s="1" t="s">
        <v>13</v>
      </c>
      <c r="B140">
        <v>7586234</v>
      </c>
      <c r="C140" s="1" t="s">
        <v>14</v>
      </c>
      <c r="D140" t="s">
        <v>237</v>
      </c>
      <c r="E140" s="1" t="s">
        <v>14</v>
      </c>
      <c r="F140">
        <v>1392</v>
      </c>
      <c r="G140" s="1" t="s">
        <v>14</v>
      </c>
      <c r="H140">
        <v>1104.9695999999999</v>
      </c>
      <c r="I140" s="1" t="s">
        <v>14</v>
      </c>
      <c r="J140">
        <v>0</v>
      </c>
      <c r="K140" s="1" t="s">
        <v>14</v>
      </c>
      <c r="L140">
        <v>0</v>
      </c>
      <c r="M140" s="1" t="s">
        <v>14</v>
      </c>
      <c r="N140">
        <v>0</v>
      </c>
      <c r="O140" s="1" t="s">
        <v>14</v>
      </c>
      <c r="P140">
        <v>1104.9695999999999</v>
      </c>
      <c r="Q140" s="1" t="s">
        <v>14</v>
      </c>
      <c r="R140">
        <v>287.0304000000001</v>
      </c>
      <c r="S140" s="1" t="s">
        <v>14</v>
      </c>
      <c r="T140">
        <v>57.406080000000003</v>
      </c>
      <c r="U140" s="1" t="s">
        <v>14</v>
      </c>
      <c r="V140">
        <v>25.976316452506943</v>
      </c>
      <c r="W140" s="1" t="s">
        <v>14</v>
      </c>
      <c r="X140">
        <v>4419.8784000000023</v>
      </c>
      <c r="Y140" s="1" t="s">
        <v>12</v>
      </c>
      <c r="Z140" s="1" t="str">
        <f t="shared" si="2"/>
        <v>&lt;tr&gt; &lt;td&gt;7586234&lt;/td&gt;&lt;td&gt;SERVO ORCHARD SPRAY OIL-4x5L - HDPE&lt;/td&gt;&lt;td&gt;1392&lt;/td&gt;&lt;td&gt;1104.9696&lt;/td&gt;&lt;td&gt;0&lt;/td&gt;&lt;td&gt;0&lt;/td&gt;&lt;td&gt;0&lt;/td&gt;&lt;td&gt;1104.9696&lt;/td&gt;&lt;td&gt;287.0304&lt;/td&gt;&lt;td&gt;57.40608&lt;/td&gt;&lt;td&gt;25.9763164525069&lt;/td&gt;&lt;td&gt;4419.8784&lt;/td&gt;&lt;/tr&gt;</v>
      </c>
    </row>
    <row r="141" spans="1:26" x14ac:dyDescent="0.3">
      <c r="A141" s="1" t="s">
        <v>13</v>
      </c>
      <c r="B141">
        <v>7586242</v>
      </c>
      <c r="C141" s="1" t="s">
        <v>14</v>
      </c>
      <c r="D141" t="s">
        <v>238</v>
      </c>
      <c r="E141" s="1" t="s">
        <v>14</v>
      </c>
      <c r="F141">
        <v>2743</v>
      </c>
      <c r="G141" s="1" t="s">
        <v>14</v>
      </c>
      <c r="H141">
        <v>2177.3933999999999</v>
      </c>
      <c r="I141" s="1" t="s">
        <v>14</v>
      </c>
      <c r="J141">
        <v>0</v>
      </c>
      <c r="K141" s="1" t="s">
        <v>14</v>
      </c>
      <c r="L141">
        <v>0</v>
      </c>
      <c r="M141" s="1" t="s">
        <v>14</v>
      </c>
      <c r="N141">
        <v>0</v>
      </c>
      <c r="O141" s="1" t="s">
        <v>14</v>
      </c>
      <c r="P141">
        <v>2177.3933999999999</v>
      </c>
      <c r="Q141" s="1" t="s">
        <v>14</v>
      </c>
      <c r="R141">
        <v>565.60660000000007</v>
      </c>
      <c r="S141" s="1" t="s">
        <v>14</v>
      </c>
      <c r="T141">
        <v>56.560660000000013</v>
      </c>
      <c r="U141" s="1" t="s">
        <v>14</v>
      </c>
      <c r="V141">
        <v>25.976316452506932</v>
      </c>
      <c r="W141" s="1" t="s">
        <v>14</v>
      </c>
      <c r="X141">
        <v>2177.3934000000008</v>
      </c>
      <c r="Y141" s="1" t="s">
        <v>12</v>
      </c>
      <c r="Z141" s="1" t="str">
        <f t="shared" si="2"/>
        <v>&lt;tr&gt; &lt;td&gt;7586242&lt;/td&gt;&lt;td&gt;SERVO ORCHARD SPRAY OIL - 10 L BUC&lt;/td&gt;&lt;td&gt;2743&lt;/td&gt;&lt;td&gt;2177.3934&lt;/td&gt;&lt;td&gt;0&lt;/td&gt;&lt;td&gt;0&lt;/td&gt;&lt;td&gt;0&lt;/td&gt;&lt;td&gt;2177.3934&lt;/td&gt;&lt;td&gt;565.6066&lt;/td&gt;&lt;td&gt;56.56066&lt;/td&gt;&lt;td&gt;25.9763164525069&lt;/td&gt;&lt;td&gt;2177.3934&lt;/td&gt;&lt;/tr&gt;</v>
      </c>
    </row>
    <row r="142" spans="1:26" x14ac:dyDescent="0.3">
      <c r="A142" s="1" t="s">
        <v>13</v>
      </c>
      <c r="B142">
        <v>7586265</v>
      </c>
      <c r="C142" s="1" t="s">
        <v>14</v>
      </c>
      <c r="D142" t="s">
        <v>239</v>
      </c>
      <c r="E142" s="1" t="s">
        <v>14</v>
      </c>
      <c r="F142">
        <v>5377</v>
      </c>
      <c r="G142" s="1" t="s">
        <v>14</v>
      </c>
      <c r="H142">
        <v>4267.1871999999994</v>
      </c>
      <c r="I142" s="1" t="s">
        <v>14</v>
      </c>
      <c r="J142">
        <v>0</v>
      </c>
      <c r="K142" s="1" t="s">
        <v>14</v>
      </c>
      <c r="L142">
        <v>0</v>
      </c>
      <c r="M142" s="1" t="s">
        <v>14</v>
      </c>
      <c r="N142">
        <v>0</v>
      </c>
      <c r="O142" s="1" t="s">
        <v>14</v>
      </c>
      <c r="P142">
        <v>4267.1871999999994</v>
      </c>
      <c r="Q142" s="1" t="s">
        <v>14</v>
      </c>
      <c r="R142">
        <v>1109.8128000000006</v>
      </c>
      <c r="S142" s="1" t="s">
        <v>14</v>
      </c>
      <c r="T142">
        <v>55.490640000000042</v>
      </c>
      <c r="U142" s="1" t="s">
        <v>14</v>
      </c>
      <c r="V142">
        <v>26.008064516129046</v>
      </c>
      <c r="W142" s="1" t="s">
        <v>14</v>
      </c>
      <c r="X142">
        <v>4267.1872000000021</v>
      </c>
      <c r="Y142" s="1" t="s">
        <v>12</v>
      </c>
      <c r="Z142" s="1" t="str">
        <f t="shared" si="2"/>
        <v>&lt;tr&gt; &lt;td&gt;7586265&lt;/td&gt;&lt;td&gt;SERVO ORCHARD SPRAY OIL - 20 L BUC&lt;/td&gt;&lt;td&gt;5377&lt;/td&gt;&lt;td&gt;4267.1872&lt;/td&gt;&lt;td&gt;0&lt;/td&gt;&lt;td&gt;0&lt;/td&gt;&lt;td&gt;0&lt;/td&gt;&lt;td&gt;4267.1872&lt;/td&gt;&lt;td&gt;1109.8128&lt;/td&gt;&lt;td&gt;55.49064&lt;/td&gt;&lt;td&gt;26.008064516129&lt;/td&gt;&lt;td&gt;4267.1872&lt;/td&gt;&lt;/tr&gt;</v>
      </c>
    </row>
    <row r="143" spans="1:26" x14ac:dyDescent="0.3">
      <c r="A143" s="1" t="s">
        <v>13</v>
      </c>
      <c r="B143">
        <v>7226184</v>
      </c>
      <c r="C143" s="1" t="s">
        <v>14</v>
      </c>
      <c r="D143" t="s">
        <v>240</v>
      </c>
      <c r="E143" s="1" t="s">
        <v>14</v>
      </c>
      <c r="F143">
        <v>369</v>
      </c>
      <c r="G143" s="1" t="s">
        <v>14</v>
      </c>
      <c r="H143">
        <v>301.65750000000003</v>
      </c>
      <c r="I143" s="1" t="s">
        <v>14</v>
      </c>
      <c r="J143">
        <v>41</v>
      </c>
      <c r="K143" s="1" t="s">
        <v>14</v>
      </c>
      <c r="L143">
        <v>0</v>
      </c>
      <c r="M143" s="1" t="s">
        <v>14</v>
      </c>
      <c r="N143">
        <v>0</v>
      </c>
      <c r="O143" s="1" t="s">
        <v>14</v>
      </c>
      <c r="P143">
        <v>253.27750000000006</v>
      </c>
      <c r="Q143" s="1" t="s">
        <v>14</v>
      </c>
      <c r="R143">
        <v>115.72249999999994</v>
      </c>
      <c r="S143" s="1" t="s">
        <v>14</v>
      </c>
      <c r="T143">
        <v>115.72249999999994</v>
      </c>
      <c r="U143" s="1" t="s">
        <v>14</v>
      </c>
      <c r="V143">
        <v>45.690004046944523</v>
      </c>
      <c r="W143" s="1" t="s">
        <v>14</v>
      </c>
      <c r="X143">
        <v>5065.5500000000047</v>
      </c>
      <c r="Y143" s="1" t="s">
        <v>12</v>
      </c>
      <c r="Z143" s="1" t="str">
        <f t="shared" si="2"/>
        <v>&lt;tr&gt; &lt;td&gt;7226184&lt;/td&gt;&lt;td&gt;SERVO MKM TRACTOR OIL-20 X 1 L &lt;/td&gt;&lt;td&gt;369&lt;/td&gt;&lt;td&gt;301.6575&lt;/td&gt;&lt;td&gt;41&lt;/td&gt;&lt;td&gt;0&lt;/td&gt;&lt;td&gt;0&lt;/td&gt;&lt;td&gt;253.2775&lt;/td&gt;&lt;td&gt;115.7225&lt;/td&gt;&lt;td&gt;115.7225&lt;/td&gt;&lt;td&gt;45.6900040469445&lt;/td&gt;&lt;td&gt;5065.55&lt;/td&gt;&lt;/tr&gt;</v>
      </c>
    </row>
    <row r="144" spans="1:26" x14ac:dyDescent="0.3">
      <c r="A144" s="1" t="s">
        <v>13</v>
      </c>
      <c r="B144">
        <v>7226251</v>
      </c>
      <c r="C144" s="1" t="s">
        <v>14</v>
      </c>
      <c r="D144" t="s">
        <v>241</v>
      </c>
      <c r="E144" s="1" t="s">
        <v>14</v>
      </c>
      <c r="F144">
        <v>2629</v>
      </c>
      <c r="G144" s="1" t="s">
        <v>14</v>
      </c>
      <c r="H144">
        <v>2169.7136999999998</v>
      </c>
      <c r="I144" s="1" t="s">
        <v>14</v>
      </c>
      <c r="J144">
        <v>28</v>
      </c>
      <c r="K144" s="1" t="s">
        <v>14</v>
      </c>
      <c r="L144">
        <v>0</v>
      </c>
      <c r="M144" s="1" t="s">
        <v>14</v>
      </c>
      <c r="N144">
        <v>0</v>
      </c>
      <c r="O144" s="1" t="s">
        <v>14</v>
      </c>
      <c r="P144">
        <v>1921.9136999999998</v>
      </c>
      <c r="Q144" s="1" t="s">
        <v>14</v>
      </c>
      <c r="R144">
        <v>707.08630000000016</v>
      </c>
      <c r="S144" s="1" t="s">
        <v>14</v>
      </c>
      <c r="T144">
        <v>94.27817333333337</v>
      </c>
      <c r="U144" s="1" t="s">
        <v>14</v>
      </c>
      <c r="V144">
        <v>36.790741436517166</v>
      </c>
      <c r="W144" s="1" t="s">
        <v>14</v>
      </c>
      <c r="X144">
        <v>1921.9137000000012</v>
      </c>
      <c r="Y144" s="1" t="s">
        <v>12</v>
      </c>
      <c r="Z144" s="1" t="str">
        <f t="shared" si="2"/>
        <v>&lt;tr&gt; &lt;td&gt;7226251&lt;/td&gt;&lt;td&gt;SERVO MKM TRACTOR OIL-7.5 L&lt;/td&gt;&lt;td&gt;2629&lt;/td&gt;&lt;td&gt;2169.7137&lt;/td&gt;&lt;td&gt;28&lt;/td&gt;&lt;td&gt;0&lt;/td&gt;&lt;td&gt;0&lt;/td&gt;&lt;td&gt;1921.9137&lt;/td&gt;&lt;td&gt;707.0863&lt;/td&gt;&lt;td&gt;94.2781733333334&lt;/td&gt;&lt;td&gt;36.7907414365172&lt;/td&gt;&lt;td&gt;1921.9137&lt;/td&gt;&lt;/tr&gt;</v>
      </c>
    </row>
    <row r="145" spans="1:26" x14ac:dyDescent="0.3">
      <c r="A145" s="1" t="s">
        <v>13</v>
      </c>
      <c r="B145">
        <v>2824152</v>
      </c>
      <c r="C145" s="1" t="s">
        <v>14</v>
      </c>
      <c r="D145" t="s">
        <v>242</v>
      </c>
      <c r="E145" s="1" t="s">
        <v>14</v>
      </c>
      <c r="F145">
        <v>323</v>
      </c>
      <c r="G145" s="1" t="s">
        <v>14</v>
      </c>
      <c r="H145">
        <v>249.19450000000001</v>
      </c>
      <c r="I145" s="1" t="s">
        <v>14</v>
      </c>
      <c r="J145">
        <v>31</v>
      </c>
      <c r="K145" s="1" t="s">
        <v>14</v>
      </c>
      <c r="L145">
        <v>0</v>
      </c>
      <c r="M145" s="1" t="s">
        <v>14</v>
      </c>
      <c r="N145">
        <v>0</v>
      </c>
      <c r="O145" s="1" t="s">
        <v>14</v>
      </c>
      <c r="P145">
        <v>216.27250000000001</v>
      </c>
      <c r="Q145" s="1" t="s">
        <v>14</v>
      </c>
      <c r="R145">
        <v>106.72749999999999</v>
      </c>
      <c r="S145" s="1" t="s">
        <v>14</v>
      </c>
      <c r="T145">
        <v>118.58611111111108</v>
      </c>
      <c r="U145" s="1" t="s">
        <v>14</v>
      </c>
      <c r="V145">
        <v>49.348622686656874</v>
      </c>
      <c r="W145" s="1" t="s">
        <v>14</v>
      </c>
      <c r="X145">
        <v>4325.45</v>
      </c>
      <c r="Y145" s="1" t="s">
        <v>12</v>
      </c>
      <c r="Z145" s="1" t="str">
        <f t="shared" si="2"/>
        <v>&lt;tr&gt; &lt;td&gt;2824152&lt;/td&gt;&lt;td&gt;SERVO 4T GREEN-20 X 0.9 L&lt;/td&gt;&lt;td&gt;323&lt;/td&gt;&lt;td&gt;249.1945&lt;/td&gt;&lt;td&gt;31&lt;/td&gt;&lt;td&gt;0&lt;/td&gt;&lt;td&gt;0&lt;/td&gt;&lt;td&gt;216.2725&lt;/td&gt;&lt;td&gt;106.7275&lt;/td&gt;&lt;td&gt;118.586111111111&lt;/td&gt;&lt;td&gt;49.3486226866569&lt;/td&gt;&lt;td&gt;4325.45&lt;/td&gt;&lt;/tr&gt;</v>
      </c>
    </row>
    <row r="146" spans="1:26" x14ac:dyDescent="0.3">
      <c r="A146" s="1" t="s">
        <v>13</v>
      </c>
      <c r="B146">
        <v>2824184</v>
      </c>
      <c r="C146" s="1" t="s">
        <v>14</v>
      </c>
      <c r="D146" t="s">
        <v>243</v>
      </c>
      <c r="E146" s="1" t="s">
        <v>14</v>
      </c>
      <c r="F146">
        <v>358</v>
      </c>
      <c r="G146" s="1" t="s">
        <v>14</v>
      </c>
      <c r="H146">
        <v>276.6266</v>
      </c>
      <c r="I146" s="1" t="s">
        <v>14</v>
      </c>
      <c r="J146">
        <v>31</v>
      </c>
      <c r="K146" s="1" t="s">
        <v>14</v>
      </c>
      <c r="L146">
        <v>0</v>
      </c>
      <c r="M146" s="1" t="s">
        <v>14</v>
      </c>
      <c r="N146">
        <v>0</v>
      </c>
      <c r="O146" s="1" t="s">
        <v>14</v>
      </c>
      <c r="P146">
        <v>240.04659999999998</v>
      </c>
      <c r="Q146" s="1" t="s">
        <v>14</v>
      </c>
      <c r="R146">
        <v>117.95340000000002</v>
      </c>
      <c r="S146" s="1" t="s">
        <v>14</v>
      </c>
      <c r="T146">
        <v>117.95340000000002</v>
      </c>
      <c r="U146" s="1" t="s">
        <v>14</v>
      </c>
      <c r="V146">
        <v>49.137709094817431</v>
      </c>
      <c r="W146" s="1" t="s">
        <v>14</v>
      </c>
      <c r="X146">
        <v>4800.9320000000034</v>
      </c>
      <c r="Y146" s="1" t="s">
        <v>12</v>
      </c>
      <c r="Z146" s="1" t="str">
        <f t="shared" si="2"/>
        <v>&lt;tr&gt; &lt;td&gt;2824184&lt;/td&gt;&lt;td&gt;SERVO 4T GREEN-20 X 1 L&lt;/td&gt;&lt;td&gt;358&lt;/td&gt;&lt;td&gt;276.6266&lt;/td&gt;&lt;td&gt;31&lt;/td&gt;&lt;td&gt;0&lt;/td&gt;&lt;td&gt;0&lt;/td&gt;&lt;td&gt;240.0466&lt;/td&gt;&lt;td&gt;117.9534&lt;/td&gt;&lt;td&gt;117.9534&lt;/td&gt;&lt;td&gt;49.1377090948174&lt;/td&gt;&lt;td&gt;4800.932&lt;/td&gt;&lt;/tr&gt;</v>
      </c>
    </row>
    <row r="147" spans="1:26" x14ac:dyDescent="0.3">
      <c r="A147" s="1" t="s">
        <v>13</v>
      </c>
      <c r="B147">
        <v>2825185</v>
      </c>
      <c r="C147" s="1" t="s">
        <v>14</v>
      </c>
      <c r="D147" t="s">
        <v>244</v>
      </c>
      <c r="E147" s="1" t="s">
        <v>14</v>
      </c>
      <c r="F147">
        <v>880</v>
      </c>
      <c r="G147" s="1" t="s">
        <v>14</v>
      </c>
      <c r="H147">
        <v>646.79999999999995</v>
      </c>
      <c r="I147" s="1" t="s">
        <v>14</v>
      </c>
      <c r="J147">
        <v>146</v>
      </c>
      <c r="K147" s="1" t="s">
        <v>14</v>
      </c>
      <c r="L147">
        <v>0</v>
      </c>
      <c r="M147" s="1" t="s">
        <v>14</v>
      </c>
      <c r="N147">
        <v>0</v>
      </c>
      <c r="O147" s="1" t="s">
        <v>14</v>
      </c>
      <c r="P147">
        <v>474.51999999999992</v>
      </c>
      <c r="Q147" s="1" t="s">
        <v>14</v>
      </c>
      <c r="R147">
        <v>405.48000000000008</v>
      </c>
      <c r="S147" s="1" t="s">
        <v>14</v>
      </c>
      <c r="T147">
        <v>405.48000000000008</v>
      </c>
      <c r="U147" s="1" t="s">
        <v>14</v>
      </c>
      <c r="V147">
        <v>85.450560566467189</v>
      </c>
      <c r="W147" s="1" t="s">
        <v>14</v>
      </c>
      <c r="X147">
        <v>4745.2000000000016</v>
      </c>
      <c r="Y147" s="1" t="s">
        <v>12</v>
      </c>
      <c r="Z147" s="1" t="str">
        <f t="shared" si="2"/>
        <v>&lt;tr&gt; &lt;td&gt;2825185&lt;/td&gt;&lt;td&gt;SERVO HYPERSPORT F5-10 X 1 L (New MRP)&lt;/td&gt;&lt;td&gt;880&lt;/td&gt;&lt;td&gt;646.8&lt;/td&gt;&lt;td&gt;146&lt;/td&gt;&lt;td&gt;0&lt;/td&gt;&lt;td&gt;0&lt;/td&gt;&lt;td&gt;474.52&lt;/td&gt;&lt;td&gt;405.48&lt;/td&gt;&lt;td&gt;405.48&lt;/td&gt;&lt;td&gt;85.4505605664672&lt;/td&gt;&lt;td&gt;4745.2&lt;/td&gt;&lt;/tr&gt;</v>
      </c>
    </row>
    <row r="148" spans="1:26" x14ac:dyDescent="0.3">
      <c r="A148" s="1" t="s">
        <v>13</v>
      </c>
      <c r="B148">
        <v>2825258</v>
      </c>
      <c r="C148" s="1" t="s">
        <v>14</v>
      </c>
      <c r="D148" t="s">
        <v>245</v>
      </c>
      <c r="E148" s="1" t="s">
        <v>14</v>
      </c>
      <c r="F148">
        <v>880</v>
      </c>
      <c r="G148" s="1" t="s">
        <v>14</v>
      </c>
      <c r="H148">
        <v>646.79999999999995</v>
      </c>
      <c r="I148" s="1" t="s">
        <v>14</v>
      </c>
      <c r="J148">
        <v>46</v>
      </c>
      <c r="K148" s="1" t="s">
        <v>14</v>
      </c>
      <c r="L148">
        <v>0</v>
      </c>
      <c r="M148" s="1" t="s">
        <v>14</v>
      </c>
      <c r="N148">
        <v>0</v>
      </c>
      <c r="O148" s="1" t="s">
        <v>14</v>
      </c>
      <c r="P148">
        <v>592.51999999999987</v>
      </c>
      <c r="Q148" s="1" t="s">
        <v>14</v>
      </c>
      <c r="R148">
        <v>287.48000000000013</v>
      </c>
      <c r="S148" s="1" t="s">
        <v>14</v>
      </c>
      <c r="T148">
        <v>287.48000000000013</v>
      </c>
      <c r="U148" s="1" t="s">
        <v>14</v>
      </c>
      <c r="V148">
        <v>48.518193478701171</v>
      </c>
      <c r="W148" s="1" t="s">
        <v>14</v>
      </c>
      <c r="X148">
        <v>5925.1999999999989</v>
      </c>
      <c r="Y148" s="1" t="s">
        <v>12</v>
      </c>
      <c r="Z148" s="1" t="str">
        <f t="shared" si="2"/>
        <v>&lt;tr&gt; &lt;td&gt;2825258&lt;/td&gt;&lt;td&gt;SERVO HYPERSPORT F5-10 X 1 L PROMO  (New MRP)&lt;/td&gt;&lt;td&gt;880&lt;/td&gt;&lt;td&gt;646.8&lt;/td&gt;&lt;td&gt;46&lt;/td&gt;&lt;td&gt;0&lt;/td&gt;&lt;td&gt;0&lt;/td&gt;&lt;td&gt;592.52&lt;/td&gt;&lt;td&gt;287.48&lt;/td&gt;&lt;td&gt;287.48&lt;/td&gt;&lt;td&gt;48.5181934787012&lt;/td&gt;&lt;td&gt;5925.2&lt;/td&gt;&lt;/tr&gt;</v>
      </c>
    </row>
    <row r="149" spans="1:26" x14ac:dyDescent="0.3">
      <c r="A149" s="1" t="s">
        <v>13</v>
      </c>
      <c r="B149">
        <v>2825022</v>
      </c>
      <c r="C149" s="1" t="s">
        <v>14</v>
      </c>
      <c r="D149" t="s">
        <v>246</v>
      </c>
      <c r="E149" s="1" t="s">
        <v>14</v>
      </c>
      <c r="F149">
        <v>1054</v>
      </c>
      <c r="G149" s="1" t="s">
        <v>14</v>
      </c>
      <c r="H149">
        <v>774.69</v>
      </c>
      <c r="I149" s="1" t="s">
        <v>14</v>
      </c>
      <c r="J149">
        <v>46</v>
      </c>
      <c r="K149" s="1" t="s">
        <v>14</v>
      </c>
      <c r="L149">
        <v>0</v>
      </c>
      <c r="M149" s="1" t="s">
        <v>14</v>
      </c>
      <c r="N149">
        <v>0</v>
      </c>
      <c r="O149" s="1" t="s">
        <v>14</v>
      </c>
      <c r="P149">
        <v>709.55399999999997</v>
      </c>
      <c r="Q149" s="1" t="s">
        <v>14</v>
      </c>
      <c r="R149">
        <v>344.44600000000003</v>
      </c>
      <c r="S149" s="1" t="s">
        <v>14</v>
      </c>
      <c r="T149">
        <v>287.03833333333341</v>
      </c>
      <c r="U149" s="1" t="s">
        <v>14</v>
      </c>
      <c r="V149">
        <v>48.544014972785725</v>
      </c>
      <c r="W149" s="1" t="s">
        <v>14</v>
      </c>
      <c r="X149">
        <v>7095.54</v>
      </c>
      <c r="Y149" s="1" t="s">
        <v>12</v>
      </c>
      <c r="Z149" s="1" t="str">
        <f t="shared" si="2"/>
        <v>&lt;tr&gt; &lt;td&gt;2825022&lt;/td&gt;&lt;td&gt;SERVO HYPERSPORT F5-10 X 1.2 L PROMO  (New MRP)&lt;/td&gt;&lt;td&gt;1054&lt;/td&gt;&lt;td&gt;774.69&lt;/td&gt;&lt;td&gt;46&lt;/td&gt;&lt;td&gt;0&lt;/td&gt;&lt;td&gt;0&lt;/td&gt;&lt;td&gt;709.554&lt;/td&gt;&lt;td&gt;344.446&lt;/td&gt;&lt;td&gt;287.038333333333&lt;/td&gt;&lt;td&gt;48.5440149727857&lt;/td&gt;&lt;td&gt;7095.54&lt;/td&gt;&lt;/tr&gt;</v>
      </c>
    </row>
    <row r="150" spans="1:26" x14ac:dyDescent="0.3">
      <c r="A150" s="1" t="s">
        <v>13</v>
      </c>
      <c r="B150">
        <v>2825195</v>
      </c>
      <c r="C150" s="1" t="s">
        <v>14</v>
      </c>
      <c r="D150" t="s">
        <v>247</v>
      </c>
      <c r="E150" s="1" t="s">
        <v>14</v>
      </c>
      <c r="F150">
        <v>2190</v>
      </c>
      <c r="G150" s="1" t="s">
        <v>14</v>
      </c>
      <c r="H150">
        <v>1609.65</v>
      </c>
      <c r="I150" s="1" t="s">
        <v>14</v>
      </c>
      <c r="J150">
        <v>0</v>
      </c>
      <c r="K150" s="1" t="s">
        <v>14</v>
      </c>
      <c r="L150">
        <v>0</v>
      </c>
      <c r="M150" s="1" t="s">
        <v>14</v>
      </c>
      <c r="N150">
        <v>0</v>
      </c>
      <c r="O150" s="1" t="s">
        <v>14</v>
      </c>
      <c r="P150">
        <v>1609.65</v>
      </c>
      <c r="Q150" s="1" t="s">
        <v>14</v>
      </c>
      <c r="R150">
        <v>580.34999999999991</v>
      </c>
      <c r="S150" s="1" t="s">
        <v>14</v>
      </c>
      <c r="T150">
        <v>232.14</v>
      </c>
      <c r="U150" s="1" t="s">
        <v>14</v>
      </c>
      <c r="V150">
        <v>36.054421768707471</v>
      </c>
      <c r="W150" s="1" t="s">
        <v>14</v>
      </c>
      <c r="X150">
        <v>6438.6</v>
      </c>
      <c r="Y150" s="1" t="s">
        <v>12</v>
      </c>
      <c r="Z150" s="1" t="str">
        <f t="shared" si="2"/>
        <v>&lt;tr&gt; &lt;td&gt;2825195&lt;/td&gt;&lt;td&gt;SERVO HYPERSPORT F5-4 X 2.5 L  (New MRP)&lt;/td&gt;&lt;td&gt;2190&lt;/td&gt;&lt;td&gt;1609.65&lt;/td&gt;&lt;td&gt;0&lt;/td&gt;&lt;td&gt;0&lt;/td&gt;&lt;td&gt;0&lt;/td&gt;&lt;td&gt;1609.65&lt;/td&gt;&lt;td&gt;580.35&lt;/td&gt;&lt;td&gt;232.14&lt;/td&gt;&lt;td&gt;36.0544217687075&lt;/td&gt;&lt;td&gt;6438.6&lt;/td&gt;&lt;/tr&gt;</v>
      </c>
    </row>
    <row r="151" spans="1:26" x14ac:dyDescent="0.3">
      <c r="A151" s="1" t="s">
        <v>13</v>
      </c>
      <c r="B151">
        <v>2825030</v>
      </c>
      <c r="C151" s="1" t="s">
        <v>14</v>
      </c>
      <c r="D151" t="s">
        <v>248</v>
      </c>
      <c r="E151" s="1" t="s">
        <v>14</v>
      </c>
      <c r="F151">
        <v>2450</v>
      </c>
      <c r="G151" s="1" t="s">
        <v>14</v>
      </c>
      <c r="H151">
        <v>1800.75</v>
      </c>
      <c r="I151" s="1" t="s">
        <v>14</v>
      </c>
      <c r="J151">
        <v>0</v>
      </c>
      <c r="K151" s="1" t="s">
        <v>14</v>
      </c>
      <c r="L151">
        <v>0</v>
      </c>
      <c r="M151" s="1" t="s">
        <v>14</v>
      </c>
      <c r="N151">
        <v>0</v>
      </c>
      <c r="O151" s="1" t="s">
        <v>14</v>
      </c>
      <c r="P151">
        <v>1800.75</v>
      </c>
      <c r="Q151" s="1" t="s">
        <v>14</v>
      </c>
      <c r="R151">
        <v>649.25</v>
      </c>
      <c r="S151" s="1" t="s">
        <v>14</v>
      </c>
      <c r="T151">
        <v>231.875</v>
      </c>
      <c r="U151" s="1" t="s">
        <v>14</v>
      </c>
      <c r="V151">
        <v>36.054421768707485</v>
      </c>
      <c r="W151" s="1" t="s">
        <v>14</v>
      </c>
      <c r="X151">
        <v>7203</v>
      </c>
      <c r="Y151" s="1" t="s">
        <v>12</v>
      </c>
      <c r="Z151" s="1" t="str">
        <f t="shared" si="2"/>
        <v>&lt;tr&gt; &lt;td&gt;2825030&lt;/td&gt;&lt;td&gt;SERVO HYPERSPORT F5-4 X 2.8 L  (New MRP)&lt;/td&gt;&lt;td&gt;2450&lt;/td&gt;&lt;td&gt;1800.75&lt;/td&gt;&lt;td&gt;0&lt;/td&gt;&lt;td&gt;0&lt;/td&gt;&lt;td&gt;0&lt;/td&gt;&lt;td&gt;1800.75&lt;/td&gt;&lt;td&gt;649.25&lt;/td&gt;&lt;td&gt;231.875&lt;/td&gt;&lt;td&gt;36.0544217687075&lt;/td&gt;&lt;td&gt;7203&lt;/td&gt;&lt;/tr&gt;</v>
      </c>
    </row>
    <row r="152" spans="1:26" x14ac:dyDescent="0.3">
      <c r="A152" s="1" t="s">
        <v>13</v>
      </c>
      <c r="B152">
        <v>2828152</v>
      </c>
      <c r="C152" s="1" t="s">
        <v>14</v>
      </c>
      <c r="D152" t="s">
        <v>249</v>
      </c>
      <c r="E152" s="1" t="s">
        <v>14</v>
      </c>
      <c r="F152">
        <v>422</v>
      </c>
      <c r="G152" s="1" t="s">
        <v>14</v>
      </c>
      <c r="H152">
        <v>314.05240000000003</v>
      </c>
      <c r="I152" s="1" t="s">
        <v>14</v>
      </c>
      <c r="J152">
        <v>46</v>
      </c>
      <c r="K152" s="1" t="s">
        <v>14</v>
      </c>
      <c r="L152">
        <v>0</v>
      </c>
      <c r="M152" s="1" t="s">
        <v>14</v>
      </c>
      <c r="N152">
        <v>0</v>
      </c>
      <c r="O152" s="1" t="s">
        <v>14</v>
      </c>
      <c r="P152">
        <v>265.2004</v>
      </c>
      <c r="Q152" s="1" t="s">
        <v>14</v>
      </c>
      <c r="R152">
        <v>156.7996</v>
      </c>
      <c r="S152" s="1" t="s">
        <v>14</v>
      </c>
      <c r="T152">
        <v>174.22177777777773</v>
      </c>
      <c r="U152" s="1" t="s">
        <v>14</v>
      </c>
      <c r="V152">
        <v>59.124948529489394</v>
      </c>
      <c r="W152" s="1" t="s">
        <v>14</v>
      </c>
      <c r="X152">
        <v>5304.0079999999998</v>
      </c>
      <c r="Y152" s="1" t="s">
        <v>12</v>
      </c>
      <c r="Z152" s="1" t="str">
        <f t="shared" si="2"/>
        <v>&lt;tr&gt; &lt;td&gt;2828152&lt;/td&gt;&lt;td&gt;SERVO 4T XTRA-20 X 0.9 L&lt;/td&gt;&lt;td&gt;422&lt;/td&gt;&lt;td&gt;314.0524&lt;/td&gt;&lt;td&gt;46&lt;/td&gt;&lt;td&gt;0&lt;/td&gt;&lt;td&gt;0&lt;/td&gt;&lt;td&gt;265.2004&lt;/td&gt;&lt;td&gt;156.7996&lt;/td&gt;&lt;td&gt;174.221777777778&lt;/td&gt;&lt;td&gt;59.1249485294894&lt;/td&gt;&lt;td&gt;5304.008&lt;/td&gt;&lt;/tr&gt;</v>
      </c>
    </row>
    <row r="153" spans="1:26" x14ac:dyDescent="0.3">
      <c r="A153" s="1" t="s">
        <v>13</v>
      </c>
      <c r="B153">
        <v>2828184</v>
      </c>
      <c r="C153" s="1" t="s">
        <v>14</v>
      </c>
      <c r="D153" t="s">
        <v>250</v>
      </c>
      <c r="E153" s="1" t="s">
        <v>14</v>
      </c>
      <c r="F153">
        <v>464</v>
      </c>
      <c r="G153" s="1" t="s">
        <v>14</v>
      </c>
      <c r="H153">
        <v>345.54079999999999</v>
      </c>
      <c r="I153" s="1" t="s">
        <v>14</v>
      </c>
      <c r="J153">
        <v>46</v>
      </c>
      <c r="K153" s="1" t="s">
        <v>14</v>
      </c>
      <c r="L153">
        <v>0</v>
      </c>
      <c r="M153" s="1" t="s">
        <v>14</v>
      </c>
      <c r="N153">
        <v>0</v>
      </c>
      <c r="O153" s="1" t="s">
        <v>14</v>
      </c>
      <c r="P153">
        <v>291.26080000000002</v>
      </c>
      <c r="Q153" s="1" t="s">
        <v>14</v>
      </c>
      <c r="R153">
        <v>172.73919999999998</v>
      </c>
      <c r="S153" s="1" t="s">
        <v>14</v>
      </c>
      <c r="T153">
        <v>172.73919999999998</v>
      </c>
      <c r="U153" s="1" t="s">
        <v>14</v>
      </c>
      <c r="V153">
        <v>59.307397356595871</v>
      </c>
      <c r="W153" s="1" t="s">
        <v>14</v>
      </c>
      <c r="X153">
        <v>5825.2160000000049</v>
      </c>
      <c r="Y153" s="1" t="s">
        <v>12</v>
      </c>
      <c r="Z153" s="1" t="str">
        <f t="shared" si="2"/>
        <v>&lt;tr&gt; &lt;td&gt;2828184&lt;/td&gt;&lt;td&gt;SERVO 4T XTRA-20 X 1 L&lt;/td&gt;&lt;td&gt;464&lt;/td&gt;&lt;td&gt;345.5408&lt;/td&gt;&lt;td&gt;46&lt;/td&gt;&lt;td&gt;0&lt;/td&gt;&lt;td&gt;0&lt;/td&gt;&lt;td&gt;291.2608&lt;/td&gt;&lt;td&gt;172.7392&lt;/td&gt;&lt;td&gt;172.7392&lt;/td&gt;&lt;td&gt;59.3073973565959&lt;/td&gt;&lt;td&gt;5825.216&lt;/td&gt;&lt;/tr&gt;</v>
      </c>
    </row>
    <row r="154" spans="1:26" x14ac:dyDescent="0.3">
      <c r="A154" s="1" t="s">
        <v>13</v>
      </c>
      <c r="B154">
        <v>2828229</v>
      </c>
      <c r="C154" s="1" t="s">
        <v>14</v>
      </c>
      <c r="D154" t="s">
        <v>251</v>
      </c>
      <c r="E154" s="1" t="s">
        <v>14</v>
      </c>
      <c r="F154">
        <v>464</v>
      </c>
      <c r="G154" s="1" t="s">
        <v>14</v>
      </c>
      <c r="H154">
        <v>345.54079999999999</v>
      </c>
      <c r="I154" s="1" t="s">
        <v>14</v>
      </c>
      <c r="J154">
        <v>41</v>
      </c>
      <c r="K154" s="1" t="s">
        <v>14</v>
      </c>
      <c r="L154">
        <v>0</v>
      </c>
      <c r="M154" s="1" t="s">
        <v>14</v>
      </c>
      <c r="N154">
        <v>0</v>
      </c>
      <c r="O154" s="1" t="s">
        <v>14</v>
      </c>
      <c r="P154">
        <v>297.16079999999999</v>
      </c>
      <c r="Q154" s="1" t="s">
        <v>14</v>
      </c>
      <c r="R154">
        <v>166.83920000000001</v>
      </c>
      <c r="S154" s="1" t="s">
        <v>14</v>
      </c>
      <c r="T154">
        <v>166.83920000000001</v>
      </c>
      <c r="U154" s="1" t="s">
        <v>14</v>
      </c>
      <c r="V154">
        <v>56.144417433254986</v>
      </c>
      <c r="W154" s="1" t="s">
        <v>14</v>
      </c>
      <c r="X154">
        <v>5943.2160000000003</v>
      </c>
      <c r="Y154" s="1" t="s">
        <v>12</v>
      </c>
      <c r="Z154" s="1" t="str">
        <f t="shared" si="2"/>
        <v>&lt;tr&gt; &lt;td&gt;2828229&lt;/td&gt;&lt;td&gt;SERVO 4T XTRA-20 X 1 L PROMO&lt;/td&gt;&lt;td&gt;464&lt;/td&gt;&lt;td&gt;345.5408&lt;/td&gt;&lt;td&gt;41&lt;/td&gt;&lt;td&gt;0&lt;/td&gt;&lt;td&gt;0&lt;/td&gt;&lt;td&gt;297.1608&lt;/td&gt;&lt;td&gt;166.8392&lt;/td&gt;&lt;td&gt;166.8392&lt;/td&gt;&lt;td&gt;56.144417433255&lt;/td&gt;&lt;td&gt;5943.216&lt;/td&gt;&lt;/tr&gt;</v>
      </c>
    </row>
    <row r="155" spans="1:26" x14ac:dyDescent="0.3">
      <c r="A155" s="1" t="s">
        <v>13</v>
      </c>
      <c r="B155">
        <v>2828230</v>
      </c>
      <c r="C155" s="1" t="s">
        <v>14</v>
      </c>
      <c r="D155" t="s">
        <v>252</v>
      </c>
      <c r="E155" s="1" t="s">
        <v>14</v>
      </c>
      <c r="F155">
        <v>422</v>
      </c>
      <c r="G155" s="1" t="s">
        <v>14</v>
      </c>
      <c r="H155">
        <v>314.05240000000003</v>
      </c>
      <c r="I155" s="1" t="s">
        <v>14</v>
      </c>
      <c r="J155">
        <v>41</v>
      </c>
      <c r="K155" s="1" t="s">
        <v>14</v>
      </c>
      <c r="L155">
        <v>0</v>
      </c>
      <c r="M155" s="1" t="s">
        <v>14</v>
      </c>
      <c r="N155">
        <v>0</v>
      </c>
      <c r="O155" s="1" t="s">
        <v>14</v>
      </c>
      <c r="P155">
        <v>270.5104</v>
      </c>
      <c r="Q155" s="1" t="s">
        <v>14</v>
      </c>
      <c r="R155">
        <v>151.4896</v>
      </c>
      <c r="S155" s="1" t="s">
        <v>14</v>
      </c>
      <c r="T155">
        <v>168.32177777777775</v>
      </c>
      <c r="U155" s="1" t="s">
        <v>14</v>
      </c>
      <c r="V155">
        <v>56.001395879788717</v>
      </c>
      <c r="W155" s="1" t="s">
        <v>14</v>
      </c>
      <c r="X155">
        <v>5410.2080000000005</v>
      </c>
      <c r="Y155" s="1" t="s">
        <v>12</v>
      </c>
      <c r="Z155" s="1" t="str">
        <f t="shared" si="2"/>
        <v>&lt;tr&gt; &lt;td&gt;2828230&lt;/td&gt;&lt;td&gt;SERVO 4T XTRA-20 X 0.9 L PROMO&lt;/td&gt;&lt;td&gt;422&lt;/td&gt;&lt;td&gt;314.0524&lt;/td&gt;&lt;td&gt;41&lt;/td&gt;&lt;td&gt;0&lt;/td&gt;&lt;td&gt;0&lt;/td&gt;&lt;td&gt;270.5104&lt;/td&gt;&lt;td&gt;151.4896&lt;/td&gt;&lt;td&gt;168.321777777778&lt;/td&gt;&lt;td&gt;56.0013958797887&lt;/td&gt;&lt;td&gt;5410.208&lt;/td&gt;&lt;/tr&gt;</v>
      </c>
    </row>
    <row r="156" spans="1:26" x14ac:dyDescent="0.3">
      <c r="A156" s="1" t="s">
        <v>13</v>
      </c>
      <c r="B156">
        <v>2829152</v>
      </c>
      <c r="C156" s="1" t="s">
        <v>14</v>
      </c>
      <c r="D156" t="s">
        <v>253</v>
      </c>
      <c r="E156" s="1" t="s">
        <v>14</v>
      </c>
      <c r="F156">
        <v>422</v>
      </c>
      <c r="G156" s="1" t="s">
        <v>14</v>
      </c>
      <c r="H156">
        <v>314.05240000000003</v>
      </c>
      <c r="I156" s="1" t="s">
        <v>14</v>
      </c>
      <c r="J156">
        <v>46</v>
      </c>
      <c r="K156" s="1" t="s">
        <v>14</v>
      </c>
      <c r="L156">
        <v>0</v>
      </c>
      <c r="M156" s="1" t="s">
        <v>14</v>
      </c>
      <c r="N156">
        <v>0</v>
      </c>
      <c r="O156" s="1" t="s">
        <v>14</v>
      </c>
      <c r="P156">
        <v>265.2004</v>
      </c>
      <c r="Q156" s="1" t="s">
        <v>14</v>
      </c>
      <c r="R156">
        <v>156.7996</v>
      </c>
      <c r="S156" s="1" t="s">
        <v>14</v>
      </c>
      <c r="T156">
        <v>174.22177777777773</v>
      </c>
      <c r="U156" s="1" t="s">
        <v>14</v>
      </c>
      <c r="V156">
        <v>59.124948529489394</v>
      </c>
      <c r="W156" s="1" t="s">
        <v>14</v>
      </c>
      <c r="X156">
        <v>5304.0079999999998</v>
      </c>
      <c r="Y156" s="1" t="s">
        <v>12</v>
      </c>
      <c r="Z156" s="1" t="str">
        <f t="shared" si="2"/>
        <v>&lt;tr&gt; &lt;td&gt;2829152&lt;/td&gt;&lt;td&gt;SERVO 4T XTRA 10W-30-20 X 0.9 L&lt;/td&gt;&lt;td&gt;422&lt;/td&gt;&lt;td&gt;314.0524&lt;/td&gt;&lt;td&gt;46&lt;/td&gt;&lt;td&gt;0&lt;/td&gt;&lt;td&gt;0&lt;/td&gt;&lt;td&gt;265.2004&lt;/td&gt;&lt;td&gt;156.7996&lt;/td&gt;&lt;td&gt;174.221777777778&lt;/td&gt;&lt;td&gt;59.1249485294894&lt;/td&gt;&lt;td&gt;5304.008&lt;/td&gt;&lt;/tr&gt;</v>
      </c>
    </row>
    <row r="157" spans="1:26" x14ac:dyDescent="0.3">
      <c r="A157" s="1" t="s">
        <v>13</v>
      </c>
      <c r="B157">
        <v>2829184</v>
      </c>
      <c r="C157" s="1" t="s">
        <v>14</v>
      </c>
      <c r="D157" t="s">
        <v>254</v>
      </c>
      <c r="E157" s="1" t="s">
        <v>14</v>
      </c>
      <c r="F157">
        <v>464</v>
      </c>
      <c r="G157" s="1" t="s">
        <v>14</v>
      </c>
      <c r="H157">
        <v>345.54079999999999</v>
      </c>
      <c r="I157" s="1" t="s">
        <v>14</v>
      </c>
      <c r="J157">
        <v>46</v>
      </c>
      <c r="K157" s="1" t="s">
        <v>14</v>
      </c>
      <c r="L157">
        <v>0</v>
      </c>
      <c r="M157" s="1" t="s">
        <v>14</v>
      </c>
      <c r="N157">
        <v>0</v>
      </c>
      <c r="O157" s="1" t="s">
        <v>14</v>
      </c>
      <c r="P157">
        <v>291.26080000000002</v>
      </c>
      <c r="Q157" s="1" t="s">
        <v>14</v>
      </c>
      <c r="R157">
        <v>172.73919999999998</v>
      </c>
      <c r="S157" s="1" t="s">
        <v>14</v>
      </c>
      <c r="T157">
        <v>172.73919999999998</v>
      </c>
      <c r="U157" s="1" t="s">
        <v>14</v>
      </c>
      <c r="V157">
        <v>59.307397356595871</v>
      </c>
      <c r="W157" s="1" t="s">
        <v>14</v>
      </c>
      <c r="X157">
        <v>5825.2160000000049</v>
      </c>
      <c r="Y157" s="1" t="s">
        <v>12</v>
      </c>
      <c r="Z157" s="1" t="str">
        <f t="shared" si="2"/>
        <v>&lt;tr&gt; &lt;td&gt;2829184&lt;/td&gt;&lt;td&gt;SERVO 4T XTRA 10W-30-20 X 1 L&lt;/td&gt;&lt;td&gt;464&lt;/td&gt;&lt;td&gt;345.5408&lt;/td&gt;&lt;td&gt;46&lt;/td&gt;&lt;td&gt;0&lt;/td&gt;&lt;td&gt;0&lt;/td&gt;&lt;td&gt;291.2608&lt;/td&gt;&lt;td&gt;172.7392&lt;/td&gt;&lt;td&gt;172.7392&lt;/td&gt;&lt;td&gt;59.3073973565959&lt;/td&gt;&lt;td&gt;5825.216&lt;/td&gt;&lt;/tr&gt;</v>
      </c>
    </row>
    <row r="158" spans="1:26" x14ac:dyDescent="0.3">
      <c r="A158" s="1" t="s">
        <v>13</v>
      </c>
      <c r="B158">
        <v>2829229</v>
      </c>
      <c r="C158" s="1" t="s">
        <v>14</v>
      </c>
      <c r="D158" t="s">
        <v>255</v>
      </c>
      <c r="E158" s="1" t="s">
        <v>14</v>
      </c>
      <c r="F158">
        <v>464</v>
      </c>
      <c r="G158" s="1" t="s">
        <v>14</v>
      </c>
      <c r="H158">
        <v>345.54079999999999</v>
      </c>
      <c r="I158" s="1" t="s">
        <v>14</v>
      </c>
      <c r="J158">
        <v>41</v>
      </c>
      <c r="K158" s="1" t="s">
        <v>14</v>
      </c>
      <c r="L158">
        <v>0</v>
      </c>
      <c r="M158" s="1" t="s">
        <v>14</v>
      </c>
      <c r="N158">
        <v>0</v>
      </c>
      <c r="O158" s="1" t="s">
        <v>14</v>
      </c>
      <c r="P158">
        <v>297.16079999999999</v>
      </c>
      <c r="Q158" s="1" t="s">
        <v>14</v>
      </c>
      <c r="R158">
        <v>166.83920000000001</v>
      </c>
      <c r="S158" s="1" t="s">
        <v>14</v>
      </c>
      <c r="T158">
        <v>166.83920000000001</v>
      </c>
      <c r="U158" s="1" t="s">
        <v>14</v>
      </c>
      <c r="V158">
        <v>56.144417433254986</v>
      </c>
      <c r="W158" s="1" t="s">
        <v>14</v>
      </c>
      <c r="X158">
        <v>5943.2160000000003</v>
      </c>
      <c r="Y158" s="1" t="s">
        <v>12</v>
      </c>
      <c r="Z158" s="1" t="str">
        <f t="shared" si="2"/>
        <v>&lt;tr&gt; &lt;td&gt;2829229&lt;/td&gt;&lt;td&gt;SERVO 4T XTRA 10W-30-20 X 1 L PROMO&lt;/td&gt;&lt;td&gt;464&lt;/td&gt;&lt;td&gt;345.5408&lt;/td&gt;&lt;td&gt;41&lt;/td&gt;&lt;td&gt;0&lt;/td&gt;&lt;td&gt;0&lt;/td&gt;&lt;td&gt;297.1608&lt;/td&gt;&lt;td&gt;166.8392&lt;/td&gt;&lt;td&gt;166.8392&lt;/td&gt;&lt;td&gt;56.144417433255&lt;/td&gt;&lt;td&gt;5943.216&lt;/td&gt;&lt;/tr&gt;</v>
      </c>
    </row>
    <row r="159" spans="1:26" x14ac:dyDescent="0.3">
      <c r="A159" s="1" t="s">
        <v>13</v>
      </c>
      <c r="B159">
        <v>2829230</v>
      </c>
      <c r="C159" s="1" t="s">
        <v>14</v>
      </c>
      <c r="D159" t="s">
        <v>256</v>
      </c>
      <c r="E159" s="1" t="s">
        <v>14</v>
      </c>
      <c r="F159">
        <v>422</v>
      </c>
      <c r="G159" s="1" t="s">
        <v>14</v>
      </c>
      <c r="H159">
        <v>314.05240000000003</v>
      </c>
      <c r="I159" s="1" t="s">
        <v>14</v>
      </c>
      <c r="J159">
        <v>41</v>
      </c>
      <c r="K159" s="1" t="s">
        <v>14</v>
      </c>
      <c r="L159">
        <v>0</v>
      </c>
      <c r="M159" s="1" t="s">
        <v>14</v>
      </c>
      <c r="N159">
        <v>0</v>
      </c>
      <c r="O159" s="1" t="s">
        <v>14</v>
      </c>
      <c r="P159">
        <v>270.5104</v>
      </c>
      <c r="Q159" s="1" t="s">
        <v>14</v>
      </c>
      <c r="R159">
        <v>151.4896</v>
      </c>
      <c r="S159" s="1" t="s">
        <v>14</v>
      </c>
      <c r="T159">
        <v>168.32177777777775</v>
      </c>
      <c r="U159" s="1" t="s">
        <v>14</v>
      </c>
      <c r="V159">
        <v>56.001395879788717</v>
      </c>
      <c r="W159" s="1" t="s">
        <v>14</v>
      </c>
      <c r="X159">
        <v>5410.2080000000005</v>
      </c>
      <c r="Y159" s="1" t="s">
        <v>12</v>
      </c>
      <c r="Z159" s="1" t="str">
        <f t="shared" si="2"/>
        <v>&lt;tr&gt; &lt;td&gt;2829230&lt;/td&gt;&lt;td&gt;SERVO 4T XTRA 10W-30-20 X 0.9 L PROMO&lt;/td&gt;&lt;td&gt;422&lt;/td&gt;&lt;td&gt;314.0524&lt;/td&gt;&lt;td&gt;41&lt;/td&gt;&lt;td&gt;0&lt;/td&gt;&lt;td&gt;0&lt;/td&gt;&lt;td&gt;270.5104&lt;/td&gt;&lt;td&gt;151.4896&lt;/td&gt;&lt;td&gt;168.321777777778&lt;/td&gt;&lt;td&gt;56.0013958797887&lt;/td&gt;&lt;td&gt;5410.208&lt;/td&gt;&lt;/tr&gt;</v>
      </c>
    </row>
    <row r="160" spans="1:26" x14ac:dyDescent="0.3">
      <c r="A160" s="1" t="s">
        <v>13</v>
      </c>
      <c r="B160">
        <v>2830230</v>
      </c>
      <c r="C160" s="1" t="s">
        <v>14</v>
      </c>
      <c r="D160" t="s">
        <v>257</v>
      </c>
      <c r="E160" s="1" t="s">
        <v>14</v>
      </c>
      <c r="F160">
        <v>422</v>
      </c>
      <c r="G160" s="1" t="s">
        <v>14</v>
      </c>
      <c r="H160">
        <v>314.05240000000003</v>
      </c>
      <c r="I160" s="1" t="s">
        <v>14</v>
      </c>
      <c r="J160">
        <v>41</v>
      </c>
      <c r="K160" s="1" t="s">
        <v>14</v>
      </c>
      <c r="L160">
        <v>0</v>
      </c>
      <c r="M160" s="1" t="s">
        <v>14</v>
      </c>
      <c r="N160">
        <v>0</v>
      </c>
      <c r="O160" s="1" t="s">
        <v>14</v>
      </c>
      <c r="P160">
        <v>270.5104</v>
      </c>
      <c r="Q160" s="1" t="s">
        <v>14</v>
      </c>
      <c r="R160">
        <v>151.4896</v>
      </c>
      <c r="S160" s="1" t="s">
        <v>14</v>
      </c>
      <c r="T160">
        <v>168.32177777777775</v>
      </c>
      <c r="U160" s="1" t="s">
        <v>14</v>
      </c>
      <c r="V160">
        <v>56.001395879788717</v>
      </c>
      <c r="W160" s="1" t="s">
        <v>14</v>
      </c>
      <c r="X160">
        <v>5410.2080000000005</v>
      </c>
      <c r="Y160" s="1" t="s">
        <v>12</v>
      </c>
      <c r="Z160" s="1" t="str">
        <f t="shared" si="2"/>
        <v>&lt;tr&gt; &lt;td&gt;2830230&lt;/td&gt;&lt;td&gt;SERVO 4T XTRA 20W-50-20 X 0.9 L PROMO &lt;/td&gt;&lt;td&gt;422&lt;/td&gt;&lt;td&gt;314.0524&lt;/td&gt;&lt;td&gt;41&lt;/td&gt;&lt;td&gt;0&lt;/td&gt;&lt;td&gt;0&lt;/td&gt;&lt;td&gt;270.5104&lt;/td&gt;&lt;td&gt;151.4896&lt;/td&gt;&lt;td&gt;168.321777777778&lt;/td&gt;&lt;td&gt;56.0013958797887&lt;/td&gt;&lt;td&gt;5410.208&lt;/td&gt;&lt;/tr&gt;</v>
      </c>
    </row>
    <row r="161" spans="1:26" x14ac:dyDescent="0.3">
      <c r="A161" s="1" t="s">
        <v>13</v>
      </c>
      <c r="B161">
        <v>2830229</v>
      </c>
      <c r="C161" s="1" t="s">
        <v>14</v>
      </c>
      <c r="D161" t="s">
        <v>258</v>
      </c>
      <c r="E161" s="1" t="s">
        <v>14</v>
      </c>
      <c r="F161">
        <v>464</v>
      </c>
      <c r="G161" s="1" t="s">
        <v>14</v>
      </c>
      <c r="H161">
        <v>345.54079999999999</v>
      </c>
      <c r="I161" s="1" t="s">
        <v>14</v>
      </c>
      <c r="J161">
        <v>41</v>
      </c>
      <c r="K161" s="1" t="s">
        <v>14</v>
      </c>
      <c r="L161">
        <v>0</v>
      </c>
      <c r="M161" s="1" t="s">
        <v>14</v>
      </c>
      <c r="N161">
        <v>0</v>
      </c>
      <c r="O161" s="1" t="s">
        <v>14</v>
      </c>
      <c r="P161">
        <v>297.16079999999999</v>
      </c>
      <c r="Q161" s="1" t="s">
        <v>14</v>
      </c>
      <c r="R161">
        <v>166.83920000000001</v>
      </c>
      <c r="S161" s="1" t="s">
        <v>14</v>
      </c>
      <c r="T161">
        <v>166.83920000000001</v>
      </c>
      <c r="U161" s="1" t="s">
        <v>14</v>
      </c>
      <c r="V161">
        <v>56.144417433254986</v>
      </c>
      <c r="W161" s="1" t="s">
        <v>14</v>
      </c>
      <c r="X161">
        <v>5943.2160000000003</v>
      </c>
      <c r="Y161" s="1" t="s">
        <v>12</v>
      </c>
      <c r="Z161" s="1" t="str">
        <f t="shared" si="2"/>
        <v>&lt;tr&gt; &lt;td&gt;2830229&lt;/td&gt;&lt;td&gt;SERVO 4T XTRA 20W-50-20 X 1 L PROMO&lt;/td&gt;&lt;td&gt;464&lt;/td&gt;&lt;td&gt;345.5408&lt;/td&gt;&lt;td&gt;41&lt;/td&gt;&lt;td&gt;0&lt;/td&gt;&lt;td&gt;0&lt;/td&gt;&lt;td&gt;297.1608&lt;/td&gt;&lt;td&gt;166.8392&lt;/td&gt;&lt;td&gt;166.8392&lt;/td&gt;&lt;td&gt;56.144417433255&lt;/td&gt;&lt;td&gt;5943.216&lt;/td&gt;&lt;/tr&gt;</v>
      </c>
    </row>
    <row r="162" spans="1:26" x14ac:dyDescent="0.3">
      <c r="A162" s="1" t="s">
        <v>13</v>
      </c>
      <c r="B162">
        <v>2885036</v>
      </c>
      <c r="C162" s="1" t="s">
        <v>14</v>
      </c>
      <c r="D162" t="s">
        <v>259</v>
      </c>
      <c r="E162" s="1" t="s">
        <v>14</v>
      </c>
      <c r="F162">
        <v>340</v>
      </c>
      <c r="G162" s="1" t="s">
        <v>14</v>
      </c>
      <c r="H162">
        <v>251.6</v>
      </c>
      <c r="I162" s="1" t="s">
        <v>14</v>
      </c>
      <c r="J162">
        <v>53</v>
      </c>
      <c r="K162" s="1" t="s">
        <v>14</v>
      </c>
      <c r="L162">
        <v>0</v>
      </c>
      <c r="M162" s="1" t="s">
        <v>14</v>
      </c>
      <c r="N162">
        <v>0</v>
      </c>
      <c r="O162" s="1" t="s">
        <v>14</v>
      </c>
      <c r="P162">
        <v>214.07599999999999</v>
      </c>
      <c r="Q162" s="1" t="s">
        <v>14</v>
      </c>
      <c r="R162">
        <v>125.92400000000001</v>
      </c>
      <c r="S162" s="1" t="s">
        <v>14</v>
      </c>
      <c r="T162">
        <v>209.87333333333339</v>
      </c>
      <c r="U162" s="1" t="s">
        <v>14</v>
      </c>
      <c r="V162">
        <v>58.822100562417091</v>
      </c>
      <c r="W162" s="1" t="s">
        <v>14</v>
      </c>
      <c r="X162">
        <v>4281.5199999999995</v>
      </c>
      <c r="Y162" s="1" t="s">
        <v>12</v>
      </c>
      <c r="Z162" s="1" t="str">
        <f t="shared" si="2"/>
        <v>&lt;tr&gt; &lt;td&gt;2885036&lt;/td&gt;&lt;td&gt;SERVO SCOOTOMATIC XTRA 5W-30 - 20 X 0.6 L&lt;/td&gt;&lt;td&gt;340&lt;/td&gt;&lt;td&gt;251.6&lt;/td&gt;&lt;td&gt;53&lt;/td&gt;&lt;td&gt;0&lt;/td&gt;&lt;td&gt;0&lt;/td&gt;&lt;td&gt;214.076&lt;/td&gt;&lt;td&gt;125.924&lt;/td&gt;&lt;td&gt;209.873333333333&lt;/td&gt;&lt;td&gt;58.8221005624171&lt;/td&gt;&lt;td&gt;4281.52&lt;/td&gt;&lt;/tr&gt;</v>
      </c>
    </row>
    <row r="163" spans="1:26" x14ac:dyDescent="0.3">
      <c r="A163" s="1" t="s">
        <v>13</v>
      </c>
      <c r="B163">
        <v>2889156</v>
      </c>
      <c r="C163" s="1" t="s">
        <v>14</v>
      </c>
      <c r="D163" t="s">
        <v>260</v>
      </c>
      <c r="E163" s="1" t="s">
        <v>14</v>
      </c>
      <c r="F163">
        <v>342</v>
      </c>
      <c r="G163" s="1" t="s">
        <v>14</v>
      </c>
      <c r="H163">
        <v>231.53400000000002</v>
      </c>
      <c r="I163" s="1" t="s">
        <v>14</v>
      </c>
      <c r="J163">
        <v>38</v>
      </c>
      <c r="K163" s="1" t="s">
        <v>14</v>
      </c>
      <c r="L163">
        <v>0</v>
      </c>
      <c r="M163" s="1" t="s">
        <v>14</v>
      </c>
      <c r="N163">
        <v>0</v>
      </c>
      <c r="O163" s="1" t="s">
        <v>14</v>
      </c>
      <c r="P163">
        <v>195.66200000000001</v>
      </c>
      <c r="Q163" s="1" t="s">
        <v>14</v>
      </c>
      <c r="R163">
        <v>146.33799999999999</v>
      </c>
      <c r="S163" s="1" t="s">
        <v>14</v>
      </c>
      <c r="T163">
        <v>182.92250000000001</v>
      </c>
      <c r="U163" s="1" t="s">
        <v>14</v>
      </c>
      <c r="V163">
        <v>74.791221596426482</v>
      </c>
      <c r="W163" s="1" t="s">
        <v>14</v>
      </c>
      <c r="X163">
        <v>3913.2400000000002</v>
      </c>
      <c r="Y163" s="1" t="s">
        <v>12</v>
      </c>
      <c r="Z163" s="1" t="str">
        <f t="shared" si="2"/>
        <v>&lt;tr&gt; &lt;td&gt;2889156&lt;/td&gt;&lt;td&gt;SERVO SCOOTOMATIC 4ST 10W-30-20 X 0.8 L&lt;/td&gt;&lt;td&gt;342&lt;/td&gt;&lt;td&gt;231.534&lt;/td&gt;&lt;td&gt;38&lt;/td&gt;&lt;td&gt;0&lt;/td&gt;&lt;td&gt;0&lt;/td&gt;&lt;td&gt;195.662&lt;/td&gt;&lt;td&gt;146.338&lt;/td&gt;&lt;td&gt;182.9225&lt;/td&gt;&lt;td&gt;74.7912215964265&lt;/td&gt;&lt;td&gt;3913.24&lt;/td&gt;&lt;/tr&gt;</v>
      </c>
    </row>
    <row r="164" spans="1:26" x14ac:dyDescent="0.3">
      <c r="A164" s="1" t="s">
        <v>13</v>
      </c>
      <c r="B164">
        <v>2924152</v>
      </c>
      <c r="C164" s="1" t="s">
        <v>14</v>
      </c>
      <c r="D164" t="s">
        <v>261</v>
      </c>
      <c r="E164" s="1" t="s">
        <v>14</v>
      </c>
      <c r="F164">
        <v>344</v>
      </c>
      <c r="G164" s="1" t="s">
        <v>14</v>
      </c>
      <c r="H164">
        <v>239.768</v>
      </c>
      <c r="I164" s="1" t="s">
        <v>14</v>
      </c>
      <c r="J164">
        <v>18</v>
      </c>
      <c r="K164" s="1" t="s">
        <v>14</v>
      </c>
      <c r="L164">
        <v>0</v>
      </c>
      <c r="M164" s="1" t="s">
        <v>14</v>
      </c>
      <c r="N164">
        <v>0</v>
      </c>
      <c r="O164" s="1" t="s">
        <v>14</v>
      </c>
      <c r="P164">
        <v>220.65200000000002</v>
      </c>
      <c r="Q164" s="1" t="s">
        <v>14</v>
      </c>
      <c r="R164">
        <v>123.34799999999998</v>
      </c>
      <c r="S164" s="1" t="s">
        <v>14</v>
      </c>
      <c r="T164">
        <v>137.05333333333334</v>
      </c>
      <c r="U164" s="1" t="s">
        <v>14</v>
      </c>
      <c r="V164">
        <v>55.901600710621238</v>
      </c>
      <c r="W164" s="1" t="s">
        <v>14</v>
      </c>
      <c r="X164">
        <v>4413.04</v>
      </c>
      <c r="Y164" s="1" t="s">
        <v>12</v>
      </c>
      <c r="Z164" s="1" t="str">
        <f t="shared" si="2"/>
        <v>&lt;tr&gt; &lt;td&gt;2924152&lt;/td&gt;&lt;td&gt;SERVO 4T-20x0.9 L CAR&lt;/td&gt;&lt;td&gt;344&lt;/td&gt;&lt;td&gt;239.768&lt;/td&gt;&lt;td&gt;18&lt;/td&gt;&lt;td&gt;0&lt;/td&gt;&lt;td&gt;0&lt;/td&gt;&lt;td&gt;220.652&lt;/td&gt;&lt;td&gt;123.348&lt;/td&gt;&lt;td&gt;137.053333333333&lt;/td&gt;&lt;td&gt;55.9016007106212&lt;/td&gt;&lt;td&gt;4413.04&lt;/td&gt;&lt;/tr&gt;</v>
      </c>
    </row>
    <row r="165" spans="1:26" x14ac:dyDescent="0.3">
      <c r="A165" s="1" t="s">
        <v>13</v>
      </c>
      <c r="B165">
        <v>2924184</v>
      </c>
      <c r="C165" s="1" t="s">
        <v>14</v>
      </c>
      <c r="D165" t="s">
        <v>262</v>
      </c>
      <c r="E165" s="1" t="s">
        <v>14</v>
      </c>
      <c r="F165">
        <v>380</v>
      </c>
      <c r="G165" s="1" t="s">
        <v>14</v>
      </c>
      <c r="H165">
        <v>266.37999999999994</v>
      </c>
      <c r="I165" s="1" t="s">
        <v>14</v>
      </c>
      <c r="J165">
        <v>18</v>
      </c>
      <c r="K165" s="1" t="s">
        <v>14</v>
      </c>
      <c r="L165">
        <v>0</v>
      </c>
      <c r="M165" s="1" t="s">
        <v>14</v>
      </c>
      <c r="N165">
        <v>0</v>
      </c>
      <c r="O165" s="1" t="s">
        <v>14</v>
      </c>
      <c r="P165">
        <v>245.13999999999993</v>
      </c>
      <c r="Q165" s="1" t="s">
        <v>14</v>
      </c>
      <c r="R165">
        <v>134.86000000000007</v>
      </c>
      <c r="S165" s="1" t="s">
        <v>14</v>
      </c>
      <c r="T165">
        <v>134.86000000000007</v>
      </c>
      <c r="U165" s="1" t="s">
        <v>14</v>
      </c>
      <c r="V165">
        <v>55.013461695357805</v>
      </c>
      <c r="W165" s="1" t="s">
        <v>14</v>
      </c>
      <c r="X165">
        <v>4902.800000000002</v>
      </c>
      <c r="Y165" s="1" t="s">
        <v>12</v>
      </c>
      <c r="Z165" s="1" t="str">
        <f t="shared" si="2"/>
        <v>&lt;tr&gt; &lt;td&gt;2924184&lt;/td&gt;&lt;td&gt;SERVO 4T-20X1L-HDPE&lt;/td&gt;&lt;td&gt;380&lt;/td&gt;&lt;td&gt;266.38&lt;/td&gt;&lt;td&gt;18&lt;/td&gt;&lt;td&gt;0&lt;/td&gt;&lt;td&gt;0&lt;/td&gt;&lt;td&gt;245.14&lt;/td&gt;&lt;td&gt;134.86&lt;/td&gt;&lt;td&gt;134.86&lt;/td&gt;&lt;td&gt;55.0134616953578&lt;/td&gt;&lt;td&gt;4902.8&lt;/td&gt;&lt;/tr&gt;</v>
      </c>
    </row>
    <row r="166" spans="1:26" x14ac:dyDescent="0.3">
      <c r="A166" s="1" t="s">
        <v>13</v>
      </c>
      <c r="B166">
        <v>2924229</v>
      </c>
      <c r="C166" s="1" t="s">
        <v>14</v>
      </c>
      <c r="D166" t="s">
        <v>263</v>
      </c>
      <c r="E166" s="1" t="s">
        <v>14</v>
      </c>
      <c r="F166">
        <v>380</v>
      </c>
      <c r="G166" s="1" t="s">
        <v>14</v>
      </c>
      <c r="H166">
        <v>266.37999999999994</v>
      </c>
      <c r="I166" s="1" t="s">
        <v>14</v>
      </c>
      <c r="J166">
        <v>6</v>
      </c>
      <c r="K166" s="1" t="s">
        <v>14</v>
      </c>
      <c r="L166">
        <v>0</v>
      </c>
      <c r="M166" s="1" t="s">
        <v>14</v>
      </c>
      <c r="N166">
        <v>0</v>
      </c>
      <c r="O166" s="1" t="s">
        <v>14</v>
      </c>
      <c r="P166">
        <v>259.29999999999995</v>
      </c>
      <c r="Q166" s="1" t="s">
        <v>14</v>
      </c>
      <c r="R166">
        <v>120.70000000000005</v>
      </c>
      <c r="S166" s="1" t="s">
        <v>14</v>
      </c>
      <c r="T166">
        <v>120.70000000000005</v>
      </c>
      <c r="U166" s="1" t="s">
        <v>14</v>
      </c>
      <c r="V166">
        <v>46.548399537215609</v>
      </c>
      <c r="W166" s="1" t="s">
        <v>14</v>
      </c>
      <c r="X166">
        <v>5185.9999999999991</v>
      </c>
      <c r="Y166" s="1" t="s">
        <v>12</v>
      </c>
      <c r="Z166" s="1" t="str">
        <f t="shared" si="2"/>
        <v>&lt;tr&gt; &lt;td&gt;2924229&lt;/td&gt;&lt;td&gt;SERVO 4T - 20 X 1 L HDPE PROMO&lt;/td&gt;&lt;td&gt;380&lt;/td&gt;&lt;td&gt;266.38&lt;/td&gt;&lt;td&gt;6&lt;/td&gt;&lt;td&gt;0&lt;/td&gt;&lt;td&gt;0&lt;/td&gt;&lt;td&gt;259.3&lt;/td&gt;&lt;td&gt;120.7&lt;/td&gt;&lt;td&gt;120.7&lt;/td&gt;&lt;td&gt;46.5483995372156&lt;/td&gt;&lt;td&gt;5186&lt;/td&gt;&lt;/tr&gt;</v>
      </c>
    </row>
    <row r="167" spans="1:26" x14ac:dyDescent="0.3">
      <c r="A167" s="1" t="s">
        <v>13</v>
      </c>
      <c r="B167">
        <v>2924230</v>
      </c>
      <c r="C167" s="1" t="s">
        <v>14</v>
      </c>
      <c r="D167" t="s">
        <v>264</v>
      </c>
      <c r="E167" s="1" t="s">
        <v>14</v>
      </c>
      <c r="F167">
        <v>344</v>
      </c>
      <c r="G167" s="1" t="s">
        <v>14</v>
      </c>
      <c r="H167">
        <v>239.768</v>
      </c>
      <c r="I167" s="1" t="s">
        <v>14</v>
      </c>
      <c r="J167">
        <v>6</v>
      </c>
      <c r="K167" s="1" t="s">
        <v>14</v>
      </c>
      <c r="L167">
        <v>0</v>
      </c>
      <c r="M167" s="1" t="s">
        <v>14</v>
      </c>
      <c r="N167">
        <v>0</v>
      </c>
      <c r="O167" s="1" t="s">
        <v>14</v>
      </c>
      <c r="P167">
        <v>233.39599999999999</v>
      </c>
      <c r="Q167" s="1" t="s">
        <v>14</v>
      </c>
      <c r="R167">
        <v>110.60400000000001</v>
      </c>
      <c r="S167" s="1" t="s">
        <v>14</v>
      </c>
      <c r="T167">
        <v>122.89333333333337</v>
      </c>
      <c r="U167" s="1" t="s">
        <v>14</v>
      </c>
      <c r="V167">
        <v>47.388986957788489</v>
      </c>
      <c r="W167" s="1" t="s">
        <v>14</v>
      </c>
      <c r="X167">
        <v>4667.92</v>
      </c>
      <c r="Y167" s="1" t="s">
        <v>12</v>
      </c>
      <c r="Z167" s="1" t="str">
        <f t="shared" si="2"/>
        <v>&lt;tr&gt; &lt;td&gt;2924230&lt;/td&gt;&lt;td&gt;SERVO 4T - 20 X 0.9 L HDPE PROMO&lt;/td&gt;&lt;td&gt;344&lt;/td&gt;&lt;td&gt;239.768&lt;/td&gt;&lt;td&gt;6&lt;/td&gt;&lt;td&gt;0&lt;/td&gt;&lt;td&gt;0&lt;/td&gt;&lt;td&gt;233.396&lt;/td&gt;&lt;td&gt;110.604&lt;/td&gt;&lt;td&gt;122.893333333333&lt;/td&gt;&lt;td&gt;47.3889869577885&lt;/td&gt;&lt;td&gt;4667.92&lt;/td&gt;&lt;/tr&gt;</v>
      </c>
    </row>
    <row r="168" spans="1:26" x14ac:dyDescent="0.3">
      <c r="A168" s="1" t="s">
        <v>13</v>
      </c>
      <c r="B168">
        <v>2931184</v>
      </c>
      <c r="C168" s="1" t="s">
        <v>14</v>
      </c>
      <c r="D168" t="s">
        <v>265</v>
      </c>
      <c r="E168" s="1" t="s">
        <v>14</v>
      </c>
      <c r="F168">
        <v>435</v>
      </c>
      <c r="G168" s="1" t="s">
        <v>14</v>
      </c>
      <c r="H168">
        <v>275.0505</v>
      </c>
      <c r="I168" s="1" t="s">
        <v>14</v>
      </c>
      <c r="J168">
        <v>16</v>
      </c>
      <c r="K168" s="1" t="s">
        <v>14</v>
      </c>
      <c r="L168">
        <v>0</v>
      </c>
      <c r="M168" s="1" t="s">
        <v>14</v>
      </c>
      <c r="N168">
        <v>0</v>
      </c>
      <c r="O168" s="1" t="s">
        <v>14</v>
      </c>
      <c r="P168">
        <v>256.1705</v>
      </c>
      <c r="Q168" s="1" t="s">
        <v>14</v>
      </c>
      <c r="R168">
        <v>178.8295</v>
      </c>
      <c r="S168" s="1" t="s">
        <v>14</v>
      </c>
      <c r="T168">
        <v>178.8295</v>
      </c>
      <c r="U168" s="1" t="s">
        <v>14</v>
      </c>
      <c r="V168">
        <v>69.808779699457972</v>
      </c>
      <c r="W168" s="1" t="s">
        <v>14</v>
      </c>
      <c r="X168">
        <v>5123.4100000000035</v>
      </c>
      <c r="Y168" s="1" t="s">
        <v>12</v>
      </c>
      <c r="Z168" s="1" t="str">
        <f t="shared" si="2"/>
        <v>&lt;tr&gt; &lt;td&gt;2931184&lt;/td&gt;&lt;td&gt;SERVO 4T 20W-50-20 X 1 L&lt;/td&gt;&lt;td&gt;435&lt;/td&gt;&lt;td&gt;275.0505&lt;/td&gt;&lt;td&gt;16&lt;/td&gt;&lt;td&gt;0&lt;/td&gt;&lt;td&gt;0&lt;/td&gt;&lt;td&gt;256.1705&lt;/td&gt;&lt;td&gt;178.8295&lt;/td&gt;&lt;td&gt;178.8295&lt;/td&gt;&lt;td&gt;69.808779699458&lt;/td&gt;&lt;td&gt;5123.41&lt;/td&gt;&lt;/tr&gt;</v>
      </c>
    </row>
    <row r="169" spans="1:26" x14ac:dyDescent="0.3">
      <c r="A169" s="1" t="s">
        <v>13</v>
      </c>
      <c r="B169">
        <v>2931225</v>
      </c>
      <c r="C169" s="1" t="s">
        <v>14</v>
      </c>
      <c r="D169" t="s">
        <v>266</v>
      </c>
      <c r="E169" s="1" t="s">
        <v>14</v>
      </c>
      <c r="F169">
        <v>518</v>
      </c>
      <c r="G169" s="1" t="s">
        <v>14</v>
      </c>
      <c r="H169">
        <v>329.24080000000004</v>
      </c>
      <c r="I169" s="1" t="s">
        <v>14</v>
      </c>
      <c r="J169">
        <v>11</v>
      </c>
      <c r="K169" s="1" t="s">
        <v>14</v>
      </c>
      <c r="L169">
        <v>0</v>
      </c>
      <c r="M169" s="1" t="s">
        <v>14</v>
      </c>
      <c r="N169">
        <v>0</v>
      </c>
      <c r="O169" s="1" t="s">
        <v>14</v>
      </c>
      <c r="P169">
        <v>313.66480000000001</v>
      </c>
      <c r="Q169" s="1" t="s">
        <v>14</v>
      </c>
      <c r="R169">
        <v>204.33519999999999</v>
      </c>
      <c r="S169" s="1" t="s">
        <v>14</v>
      </c>
      <c r="T169">
        <v>170.27933333333334</v>
      </c>
      <c r="U169" s="1" t="s">
        <v>14</v>
      </c>
      <c r="V169">
        <v>65.144447193309546</v>
      </c>
      <c r="W169" s="1" t="s">
        <v>14</v>
      </c>
      <c r="X169">
        <v>6273.2960000000003</v>
      </c>
      <c r="Y169" s="1" t="s">
        <v>12</v>
      </c>
      <c r="Z169" s="1" t="str">
        <f t="shared" si="2"/>
        <v>&lt;tr&gt; &lt;td&gt;2931225&lt;/td&gt;&lt;td&gt;SERVO 4T 20W-50-20 X 1.2 L&lt;/td&gt;&lt;td&gt;518&lt;/td&gt;&lt;td&gt;329.2408&lt;/td&gt;&lt;td&gt;11&lt;/td&gt;&lt;td&gt;0&lt;/td&gt;&lt;td&gt;0&lt;/td&gt;&lt;td&gt;313.6648&lt;/td&gt;&lt;td&gt;204.3352&lt;/td&gt;&lt;td&gt;170.279333333333&lt;/td&gt;&lt;td&gt;65.1444471933095&lt;/td&gt;&lt;td&gt;6273.296&lt;/td&gt;&lt;/tr&gt;</v>
      </c>
    </row>
    <row r="170" spans="1:26" x14ac:dyDescent="0.3">
      <c r="A170" s="1" t="s">
        <v>13</v>
      </c>
      <c r="B170">
        <v>2931229</v>
      </c>
      <c r="C170" s="1" t="s">
        <v>14</v>
      </c>
      <c r="D170" t="s">
        <v>267</v>
      </c>
      <c r="E170" s="1" t="s">
        <v>14</v>
      </c>
      <c r="F170">
        <v>435</v>
      </c>
      <c r="G170" s="1" t="s">
        <v>14</v>
      </c>
      <c r="H170">
        <v>275.0505</v>
      </c>
      <c r="I170" s="1" t="s">
        <v>14</v>
      </c>
      <c r="J170">
        <v>11</v>
      </c>
      <c r="K170" s="1" t="s">
        <v>14</v>
      </c>
      <c r="L170">
        <v>0</v>
      </c>
      <c r="M170" s="1" t="s">
        <v>14</v>
      </c>
      <c r="N170">
        <v>0</v>
      </c>
      <c r="O170" s="1" t="s">
        <v>14</v>
      </c>
      <c r="P170">
        <v>262.07049999999998</v>
      </c>
      <c r="Q170" s="1" t="s">
        <v>14</v>
      </c>
      <c r="R170">
        <v>172.92950000000002</v>
      </c>
      <c r="S170" s="1" t="s">
        <v>14</v>
      </c>
      <c r="T170">
        <v>172.92950000000002</v>
      </c>
      <c r="U170" s="1" t="s">
        <v>14</v>
      </c>
      <c r="V170">
        <v>65.98587021431257</v>
      </c>
      <c r="W170" s="1" t="s">
        <v>14</v>
      </c>
      <c r="X170">
        <v>5241.41</v>
      </c>
      <c r="Y170" s="1" t="s">
        <v>12</v>
      </c>
      <c r="Z170" s="1" t="str">
        <f t="shared" si="2"/>
        <v>&lt;tr&gt; &lt;td&gt;2931229&lt;/td&gt;&lt;td&gt;SERVO 4T 20W-50-20 X 1 L PROMO&lt;/td&gt;&lt;td&gt;435&lt;/td&gt;&lt;td&gt;275.0505&lt;/td&gt;&lt;td&gt;11&lt;/td&gt;&lt;td&gt;0&lt;/td&gt;&lt;td&gt;0&lt;/td&gt;&lt;td&gt;262.0705&lt;/td&gt;&lt;td&gt;172.9295&lt;/td&gt;&lt;td&gt;172.9295&lt;/td&gt;&lt;td&gt;65.9858702143126&lt;/td&gt;&lt;td&gt;5241.41&lt;/td&gt;&lt;/tr&gt;</v>
      </c>
    </row>
    <row r="171" spans="1:26" x14ac:dyDescent="0.3">
      <c r="A171" s="1" t="s">
        <v>13</v>
      </c>
      <c r="B171">
        <v>2936152</v>
      </c>
      <c r="C171" s="1" t="s">
        <v>14</v>
      </c>
      <c r="D171" t="s">
        <v>268</v>
      </c>
      <c r="E171" s="1" t="s">
        <v>14</v>
      </c>
      <c r="F171">
        <v>354</v>
      </c>
      <c r="G171" s="1" t="s">
        <v>14</v>
      </c>
      <c r="H171">
        <v>242.87939999999998</v>
      </c>
      <c r="I171" s="1" t="s">
        <v>14</v>
      </c>
      <c r="J171">
        <v>21</v>
      </c>
      <c r="K171" s="1" t="s">
        <v>14</v>
      </c>
      <c r="L171">
        <v>0</v>
      </c>
      <c r="M171" s="1" t="s">
        <v>14</v>
      </c>
      <c r="N171">
        <v>0</v>
      </c>
      <c r="O171" s="1" t="s">
        <v>14</v>
      </c>
      <c r="P171">
        <v>220.57739999999995</v>
      </c>
      <c r="Q171" s="1" t="s">
        <v>14</v>
      </c>
      <c r="R171">
        <v>133.42260000000005</v>
      </c>
      <c r="S171" s="1" t="s">
        <v>14</v>
      </c>
      <c r="T171">
        <v>148.24733333333336</v>
      </c>
      <c r="U171" s="1" t="s">
        <v>14</v>
      </c>
      <c r="V171">
        <v>60.487883164821085</v>
      </c>
      <c r="W171" s="1" t="s">
        <v>14</v>
      </c>
      <c r="X171">
        <v>4411.5479999999989</v>
      </c>
      <c r="Y171" s="1" t="s">
        <v>12</v>
      </c>
      <c r="Z171" s="1" t="str">
        <f t="shared" si="2"/>
        <v>&lt;tr&gt; &lt;td&gt;2936152&lt;/td&gt;&lt;td&gt;SERVO 4T ZOOM 10W-30 - 20 X 0.9 L HDPE&lt;/td&gt;&lt;td&gt;354&lt;/td&gt;&lt;td&gt;242.8794&lt;/td&gt;&lt;td&gt;21&lt;/td&gt;&lt;td&gt;0&lt;/td&gt;&lt;td&gt;0&lt;/td&gt;&lt;td&gt;220.5774&lt;/td&gt;&lt;td&gt;133.4226&lt;/td&gt;&lt;td&gt;148.247333333333&lt;/td&gt;&lt;td&gt;60.4878831648211&lt;/td&gt;&lt;td&gt;4411.548&lt;/td&gt;&lt;/tr&gt;</v>
      </c>
    </row>
    <row r="172" spans="1:26" x14ac:dyDescent="0.3">
      <c r="A172" s="1" t="s">
        <v>13</v>
      </c>
      <c r="B172">
        <v>2936229</v>
      </c>
      <c r="C172" s="1" t="s">
        <v>14</v>
      </c>
      <c r="D172" t="s">
        <v>269</v>
      </c>
      <c r="E172" s="1" t="s">
        <v>14</v>
      </c>
      <c r="F172">
        <v>392</v>
      </c>
      <c r="G172" s="1" t="s">
        <v>14</v>
      </c>
      <c r="H172">
        <v>269.30400000000003</v>
      </c>
      <c r="I172" s="1" t="s">
        <v>14</v>
      </c>
      <c r="J172">
        <v>21</v>
      </c>
      <c r="K172" s="1" t="s">
        <v>14</v>
      </c>
      <c r="L172">
        <v>0</v>
      </c>
      <c r="M172" s="1" t="s">
        <v>14</v>
      </c>
      <c r="N172">
        <v>0</v>
      </c>
      <c r="O172" s="1" t="s">
        <v>14</v>
      </c>
      <c r="P172">
        <v>244.52400000000003</v>
      </c>
      <c r="Q172" s="1" t="s">
        <v>14</v>
      </c>
      <c r="R172">
        <v>147.47599999999997</v>
      </c>
      <c r="S172" s="1" t="s">
        <v>14</v>
      </c>
      <c r="T172">
        <v>147.47599999999997</v>
      </c>
      <c r="U172" s="1" t="s">
        <v>14</v>
      </c>
      <c r="V172">
        <v>60.311462269552251</v>
      </c>
      <c r="W172" s="1" t="s">
        <v>14</v>
      </c>
      <c r="X172">
        <v>4890.4800000000005</v>
      </c>
      <c r="Y172" s="1" t="s">
        <v>12</v>
      </c>
      <c r="Z172" s="1" t="str">
        <f t="shared" si="2"/>
        <v>&lt;tr&gt; &lt;td&gt;2936229&lt;/td&gt;&lt;td&gt;SERVO 4T ZOOM 10W-30-20 X 1 L PROMO&lt;/td&gt;&lt;td&gt;392&lt;/td&gt;&lt;td&gt;269.304&lt;/td&gt;&lt;td&gt;21&lt;/td&gt;&lt;td&gt;0&lt;/td&gt;&lt;td&gt;0&lt;/td&gt;&lt;td&gt;244.524&lt;/td&gt;&lt;td&gt;147.476&lt;/td&gt;&lt;td&gt;147.476&lt;/td&gt;&lt;td&gt;60.3114622695523&lt;/td&gt;&lt;td&gt;4890.48&lt;/td&gt;&lt;/tr&gt;</v>
      </c>
    </row>
    <row r="173" spans="1:26" x14ac:dyDescent="0.3">
      <c r="A173" s="1" t="s">
        <v>13</v>
      </c>
      <c r="B173">
        <v>2936230</v>
      </c>
      <c r="C173" s="1" t="s">
        <v>14</v>
      </c>
      <c r="D173" t="s">
        <v>270</v>
      </c>
      <c r="E173" s="1" t="s">
        <v>14</v>
      </c>
      <c r="F173">
        <v>354</v>
      </c>
      <c r="G173" s="1" t="s">
        <v>14</v>
      </c>
      <c r="H173">
        <v>242.87939999999998</v>
      </c>
      <c r="I173" s="1" t="s">
        <v>14</v>
      </c>
      <c r="J173">
        <v>21</v>
      </c>
      <c r="K173" s="1" t="s">
        <v>14</v>
      </c>
      <c r="L173">
        <v>0</v>
      </c>
      <c r="M173" s="1" t="s">
        <v>14</v>
      </c>
      <c r="N173">
        <v>0</v>
      </c>
      <c r="O173" s="1" t="s">
        <v>14</v>
      </c>
      <c r="P173">
        <v>220.57739999999995</v>
      </c>
      <c r="Q173" s="1" t="s">
        <v>14</v>
      </c>
      <c r="R173">
        <v>133.42260000000005</v>
      </c>
      <c r="S173" s="1" t="s">
        <v>14</v>
      </c>
      <c r="T173">
        <v>148.24733333333336</v>
      </c>
      <c r="U173" s="1" t="s">
        <v>14</v>
      </c>
      <c r="V173">
        <v>60.487883164821085</v>
      </c>
      <c r="W173" s="1" t="s">
        <v>14</v>
      </c>
      <c r="X173">
        <v>4411.5479999999989</v>
      </c>
      <c r="Y173" s="1" t="s">
        <v>12</v>
      </c>
      <c r="Z173" s="1" t="str">
        <f t="shared" si="2"/>
        <v>&lt;tr&gt; &lt;td&gt;2936230&lt;/td&gt;&lt;td&gt;SERVO 4T ZOOM 10W-30-20X0.9 L HDPE PROMO&lt;/td&gt;&lt;td&gt;354&lt;/td&gt;&lt;td&gt;242.8794&lt;/td&gt;&lt;td&gt;21&lt;/td&gt;&lt;td&gt;0&lt;/td&gt;&lt;td&gt;0&lt;/td&gt;&lt;td&gt;220.5774&lt;/td&gt;&lt;td&gt;133.4226&lt;/td&gt;&lt;td&gt;148.247333333333&lt;/td&gt;&lt;td&gt;60.4878831648211&lt;/td&gt;&lt;td&gt;4411.548&lt;/td&gt;&lt;/tr&gt;</v>
      </c>
    </row>
    <row r="174" spans="1:26" x14ac:dyDescent="0.3">
      <c r="A174" s="1" t="s">
        <v>13</v>
      </c>
      <c r="B174">
        <v>2944229</v>
      </c>
      <c r="C174" s="1" t="s">
        <v>14</v>
      </c>
      <c r="D174" t="s">
        <v>271</v>
      </c>
      <c r="E174" s="1" t="s">
        <v>14</v>
      </c>
      <c r="F174">
        <v>381</v>
      </c>
      <c r="G174" s="1" t="s">
        <v>14</v>
      </c>
      <c r="H174">
        <v>294.32249999999999</v>
      </c>
      <c r="I174" s="1" t="s">
        <v>14</v>
      </c>
      <c r="J174">
        <v>11</v>
      </c>
      <c r="K174" s="1" t="s">
        <v>14</v>
      </c>
      <c r="L174">
        <v>0</v>
      </c>
      <c r="M174" s="1" t="s">
        <v>14</v>
      </c>
      <c r="N174">
        <v>0</v>
      </c>
      <c r="O174" s="1" t="s">
        <v>14</v>
      </c>
      <c r="P174">
        <v>281.34249999999997</v>
      </c>
      <c r="Q174" s="1" t="s">
        <v>14</v>
      </c>
      <c r="R174">
        <v>99.657500000000027</v>
      </c>
      <c r="S174" s="1" t="s">
        <v>14</v>
      </c>
      <c r="T174">
        <v>99.657500000000027</v>
      </c>
      <c r="U174" s="1" t="s">
        <v>14</v>
      </c>
      <c r="V174">
        <v>35.422127833512548</v>
      </c>
      <c r="W174" s="1" t="s">
        <v>14</v>
      </c>
      <c r="X174">
        <v>5626.8499999999995</v>
      </c>
      <c r="Y174" s="1" t="s">
        <v>12</v>
      </c>
      <c r="Z174" s="1" t="str">
        <f t="shared" si="2"/>
        <v>&lt;tr&gt; &lt;td&gt;2944229&lt;/td&gt;&lt;td&gt;SERVO 4T 10W-30-20 X 1 L PROMO&lt;/td&gt;&lt;td&gt;381&lt;/td&gt;&lt;td&gt;294.3225&lt;/td&gt;&lt;td&gt;11&lt;/td&gt;&lt;td&gt;0&lt;/td&gt;&lt;td&gt;0&lt;/td&gt;&lt;td&gt;281.3425&lt;/td&gt;&lt;td&gt;99.6575&lt;/td&gt;&lt;td&gt;99.6575&lt;/td&gt;&lt;td&gt;35.4221278335125&lt;/td&gt;&lt;td&gt;5626.85&lt;/td&gt;&lt;/tr&gt;</v>
      </c>
    </row>
    <row r="175" spans="1:26" x14ac:dyDescent="0.3">
      <c r="A175" s="1" t="s">
        <v>13</v>
      </c>
      <c r="B175">
        <v>2944230</v>
      </c>
      <c r="C175" s="1" t="s">
        <v>14</v>
      </c>
      <c r="D175" t="s">
        <v>272</v>
      </c>
      <c r="E175" s="1" t="s">
        <v>14</v>
      </c>
      <c r="F175">
        <v>349</v>
      </c>
      <c r="G175" s="1" t="s">
        <v>14</v>
      </c>
      <c r="H175">
        <v>265.13529999999997</v>
      </c>
      <c r="I175" s="1" t="s">
        <v>14</v>
      </c>
      <c r="J175">
        <v>11</v>
      </c>
      <c r="K175" s="1" t="s">
        <v>14</v>
      </c>
      <c r="L175">
        <v>0</v>
      </c>
      <c r="M175" s="1" t="s">
        <v>14</v>
      </c>
      <c r="N175">
        <v>0</v>
      </c>
      <c r="O175" s="1" t="s">
        <v>14</v>
      </c>
      <c r="P175">
        <v>253.45329999999996</v>
      </c>
      <c r="Q175" s="1" t="s">
        <v>14</v>
      </c>
      <c r="R175">
        <v>95.546700000000044</v>
      </c>
      <c r="S175" s="1" t="s">
        <v>14</v>
      </c>
      <c r="T175">
        <v>106.16300000000007</v>
      </c>
      <c r="U175" s="1" t="s">
        <v>14</v>
      </c>
      <c r="V175">
        <v>37.697950667835087</v>
      </c>
      <c r="W175" s="1" t="s">
        <v>14</v>
      </c>
      <c r="X175">
        <v>5069.0659999999989</v>
      </c>
      <c r="Y175" s="1" t="s">
        <v>12</v>
      </c>
      <c r="Z175" s="1" t="str">
        <f t="shared" si="2"/>
        <v>&lt;tr&gt; &lt;td&gt;2944230&lt;/td&gt;&lt;td&gt;SERVO 4T 10W-30-20 X 0.9 L PROMO&lt;/td&gt;&lt;td&gt;349&lt;/td&gt;&lt;td&gt;265.1353&lt;/td&gt;&lt;td&gt;11&lt;/td&gt;&lt;td&gt;0&lt;/td&gt;&lt;td&gt;0&lt;/td&gt;&lt;td&gt;253.4533&lt;/td&gt;&lt;td&gt;95.5467&lt;/td&gt;&lt;td&gt;106.163&lt;/td&gt;&lt;td&gt;37.6979506678351&lt;/td&gt;&lt;td&gt;5069.066&lt;/td&gt;&lt;/tr&gt;</v>
      </c>
    </row>
    <row r="176" spans="1:26" x14ac:dyDescent="0.3">
      <c r="A176" s="1" t="s">
        <v>13</v>
      </c>
      <c r="B176">
        <v>2949184</v>
      </c>
      <c r="C176" s="1" t="s">
        <v>14</v>
      </c>
      <c r="D176" t="s">
        <v>273</v>
      </c>
      <c r="E176" s="1" t="s">
        <v>14</v>
      </c>
      <c r="F176">
        <v>600</v>
      </c>
      <c r="G176" s="1" t="s">
        <v>14</v>
      </c>
      <c r="H176">
        <v>417.54</v>
      </c>
      <c r="I176" s="1" t="s">
        <v>14</v>
      </c>
      <c r="J176">
        <v>26</v>
      </c>
      <c r="K176" s="1" t="s">
        <v>14</v>
      </c>
      <c r="L176">
        <v>0</v>
      </c>
      <c r="M176" s="1" t="s">
        <v>14</v>
      </c>
      <c r="N176">
        <v>0</v>
      </c>
      <c r="O176" s="1" t="s">
        <v>14</v>
      </c>
      <c r="P176">
        <v>386.86</v>
      </c>
      <c r="Q176" s="1" t="s">
        <v>14</v>
      </c>
      <c r="R176">
        <v>213.14</v>
      </c>
      <c r="S176" s="1" t="s">
        <v>14</v>
      </c>
      <c r="T176">
        <v>213.14</v>
      </c>
      <c r="U176" s="1" t="s">
        <v>14</v>
      </c>
      <c r="V176">
        <v>55.094866359923479</v>
      </c>
      <c r="W176" s="1" t="s">
        <v>14</v>
      </c>
      <c r="X176">
        <v>7737.2000000000062</v>
      </c>
      <c r="Y176" s="1" t="s">
        <v>12</v>
      </c>
      <c r="Z176" s="1" t="str">
        <f t="shared" si="2"/>
        <v>&lt;tr&gt; &lt;td&gt;2949184&lt;/td&gt;&lt;td&gt;SERVO 4T SYNTH-20 X 1 L&lt;/td&gt;&lt;td&gt;600&lt;/td&gt;&lt;td&gt;417.54&lt;/td&gt;&lt;td&gt;26&lt;/td&gt;&lt;td&gt;0&lt;/td&gt;&lt;td&gt;0&lt;/td&gt;&lt;td&gt;386.86&lt;/td&gt;&lt;td&gt;213.14&lt;/td&gt;&lt;td&gt;213.14&lt;/td&gt;&lt;td&gt;55.0948663599235&lt;/td&gt;&lt;td&gt;7737.20000000001&lt;/td&gt;&lt;/tr&gt;</v>
      </c>
    </row>
    <row r="177" spans="1:26" x14ac:dyDescent="0.3">
      <c r="A177" s="1" t="s">
        <v>13</v>
      </c>
      <c r="B177">
        <v>2971195</v>
      </c>
      <c r="C177" s="1" t="s">
        <v>14</v>
      </c>
      <c r="D177" t="s">
        <v>274</v>
      </c>
      <c r="E177" s="1" t="s">
        <v>14</v>
      </c>
      <c r="F177">
        <v>1068</v>
      </c>
      <c r="G177" s="1" t="s">
        <v>14</v>
      </c>
      <c r="H177">
        <v>780.2808</v>
      </c>
      <c r="I177" s="1" t="s">
        <v>14</v>
      </c>
      <c r="J177">
        <v>41</v>
      </c>
      <c r="K177" s="1" t="s">
        <v>14</v>
      </c>
      <c r="L177">
        <v>0</v>
      </c>
      <c r="M177" s="1" t="s">
        <v>14</v>
      </c>
      <c r="N177">
        <v>0</v>
      </c>
      <c r="O177" s="1" t="s">
        <v>14</v>
      </c>
      <c r="P177">
        <v>659.33079999999995</v>
      </c>
      <c r="Q177" s="1" t="s">
        <v>14</v>
      </c>
      <c r="R177">
        <v>408.66920000000005</v>
      </c>
      <c r="S177" s="1" t="s">
        <v>14</v>
      </c>
      <c r="T177">
        <v>163.46768000000003</v>
      </c>
      <c r="U177" s="1" t="s">
        <v>14</v>
      </c>
      <c r="V177">
        <v>61.982422177152962</v>
      </c>
      <c r="W177" s="1" t="s">
        <v>14</v>
      </c>
      <c r="X177">
        <v>2637.3231999999998</v>
      </c>
      <c r="Y177" s="1" t="s">
        <v>12</v>
      </c>
      <c r="Z177" s="1" t="str">
        <f t="shared" si="2"/>
        <v>&lt;tr&gt; &lt;td&gt;2971195&lt;/td&gt;&lt;td&gt;SERVO 4T HD-4 X 2.5 L&lt;/td&gt;&lt;td&gt;1068&lt;/td&gt;&lt;td&gt;780.2808&lt;/td&gt;&lt;td&gt;41&lt;/td&gt;&lt;td&gt;0&lt;/td&gt;&lt;td&gt;0&lt;/td&gt;&lt;td&gt;659.3308&lt;/td&gt;&lt;td&gt;408.6692&lt;/td&gt;&lt;td&gt;163.46768&lt;/td&gt;&lt;td&gt;61.982422177153&lt;/td&gt;&lt;td&gt;2637.3232&lt;/td&gt;&lt;/tr&gt;</v>
      </c>
    </row>
    <row r="178" spans="1:26" x14ac:dyDescent="0.3">
      <c r="A178" s="1" t="s">
        <v>13</v>
      </c>
      <c r="B178">
        <v>2971225</v>
      </c>
      <c r="C178" s="1" t="s">
        <v>14</v>
      </c>
      <c r="D178" t="s">
        <v>275</v>
      </c>
      <c r="E178" s="1" t="s">
        <v>14</v>
      </c>
      <c r="F178">
        <v>538</v>
      </c>
      <c r="G178" s="1" t="s">
        <v>14</v>
      </c>
      <c r="H178">
        <v>384.93900000000002</v>
      </c>
      <c r="I178" s="1" t="s">
        <v>14</v>
      </c>
      <c r="J178">
        <v>41</v>
      </c>
      <c r="K178" s="1" t="s">
        <v>14</v>
      </c>
      <c r="L178">
        <v>0</v>
      </c>
      <c r="M178" s="1" t="s">
        <v>14</v>
      </c>
      <c r="N178">
        <v>0</v>
      </c>
      <c r="O178" s="1" t="s">
        <v>14</v>
      </c>
      <c r="P178">
        <v>326.8830000000001</v>
      </c>
      <c r="Q178" s="1" t="s">
        <v>14</v>
      </c>
      <c r="R178">
        <v>211.1169999999999</v>
      </c>
      <c r="S178" s="1" t="s">
        <v>14</v>
      </c>
      <c r="T178">
        <v>175.93083333333328</v>
      </c>
      <c r="U178" s="1" t="s">
        <v>14</v>
      </c>
      <c r="V178">
        <v>64.584882052599809</v>
      </c>
      <c r="W178" s="1" t="s">
        <v>14</v>
      </c>
      <c r="X178">
        <v>6537.6600000000017</v>
      </c>
      <c r="Y178" s="1" t="s">
        <v>12</v>
      </c>
      <c r="Z178" s="1" t="str">
        <f t="shared" si="2"/>
        <v>&lt;tr&gt; &lt;td&gt;2971225&lt;/td&gt;&lt;td&gt;SERVO 4T HD-20 X 1.2 L&lt;/td&gt;&lt;td&gt;538&lt;/td&gt;&lt;td&gt;384.939&lt;/td&gt;&lt;td&gt;41&lt;/td&gt;&lt;td&gt;0&lt;/td&gt;&lt;td&gt;0&lt;/td&gt;&lt;td&gt;326.883&lt;/td&gt;&lt;td&gt;211.117&lt;/td&gt;&lt;td&gt;175.930833333333&lt;/td&gt;&lt;td&gt;64.5848820525998&lt;/td&gt;&lt;td&gt;6537.66&lt;/td&gt;&lt;/tr&gt;</v>
      </c>
    </row>
    <row r="179" spans="1:26" x14ac:dyDescent="0.3">
      <c r="A179" s="1" t="s">
        <v>13</v>
      </c>
      <c r="B179">
        <v>2967204</v>
      </c>
      <c r="C179" s="1" t="s">
        <v>14</v>
      </c>
      <c r="D179" t="s">
        <v>276</v>
      </c>
      <c r="E179" s="1" t="s">
        <v>14</v>
      </c>
      <c r="F179">
        <v>1721</v>
      </c>
      <c r="G179" s="1" t="s">
        <v>14</v>
      </c>
      <c r="H179">
        <v>1117.4453000000001</v>
      </c>
      <c r="I179" s="1" t="s">
        <v>14</v>
      </c>
      <c r="J179">
        <v>41</v>
      </c>
      <c r="K179" s="1" t="s">
        <v>14</v>
      </c>
      <c r="L179">
        <v>0</v>
      </c>
      <c r="M179" s="1" t="s">
        <v>14</v>
      </c>
      <c r="N179">
        <v>0</v>
      </c>
      <c r="O179" s="1" t="s">
        <v>14</v>
      </c>
      <c r="P179">
        <v>972.30530000000022</v>
      </c>
      <c r="Q179" s="1" t="s">
        <v>14</v>
      </c>
      <c r="R179">
        <v>748.69469999999978</v>
      </c>
      <c r="S179" s="1" t="s">
        <v>14</v>
      </c>
      <c r="T179">
        <v>249.56489999999991</v>
      </c>
      <c r="U179" s="1" t="s">
        <v>14</v>
      </c>
      <c r="V179">
        <v>77.00201778186333</v>
      </c>
      <c r="W179" s="1" t="s">
        <v>14</v>
      </c>
      <c r="X179">
        <v>3889.2212000000009</v>
      </c>
      <c r="Y179" s="1" t="s">
        <v>12</v>
      </c>
      <c r="Z179" s="1" t="str">
        <f t="shared" si="2"/>
        <v>&lt;tr&gt; &lt;td&gt;2967204&lt;/td&gt;&lt;td&gt;SERVO FUTURA G PLUS 5W-30-4 X 3 L PROMO&lt;/td&gt;&lt;td&gt;1721&lt;/td&gt;&lt;td&gt;1117.4453&lt;/td&gt;&lt;td&gt;41&lt;/td&gt;&lt;td&gt;0&lt;/td&gt;&lt;td&gt;0&lt;/td&gt;&lt;td&gt;972.3053&lt;/td&gt;&lt;td&gt;748.6947&lt;/td&gt;&lt;td&gt;249.5649&lt;/td&gt;&lt;td&gt;77.0020177818633&lt;/td&gt;&lt;td&gt;3889.2212&lt;/td&gt;&lt;/tr&gt;</v>
      </c>
    </row>
    <row r="180" spans="1:26" x14ac:dyDescent="0.3">
      <c r="A180" s="1" t="s">
        <v>13</v>
      </c>
      <c r="B180">
        <v>2967213</v>
      </c>
      <c r="C180" s="1" t="s">
        <v>14</v>
      </c>
      <c r="D180" t="s">
        <v>277</v>
      </c>
      <c r="E180" s="1" t="s">
        <v>14</v>
      </c>
      <c r="F180">
        <v>2005</v>
      </c>
      <c r="G180" s="1" t="s">
        <v>14</v>
      </c>
      <c r="H180">
        <v>1301.2450000000001</v>
      </c>
      <c r="I180" s="1" t="s">
        <v>14</v>
      </c>
      <c r="J180">
        <v>51</v>
      </c>
      <c r="K180" s="1" t="s">
        <v>14</v>
      </c>
      <c r="L180">
        <v>0</v>
      </c>
      <c r="M180" s="1" t="s">
        <v>14</v>
      </c>
      <c r="N180">
        <v>0</v>
      </c>
      <c r="O180" s="1" t="s">
        <v>14</v>
      </c>
      <c r="P180">
        <v>1090.6150000000002</v>
      </c>
      <c r="Q180" s="1" t="s">
        <v>14</v>
      </c>
      <c r="R180">
        <v>914.38499999999976</v>
      </c>
      <c r="S180" s="1" t="s">
        <v>14</v>
      </c>
      <c r="T180">
        <v>261.25285714285712</v>
      </c>
      <c r="U180" s="1" t="s">
        <v>14</v>
      </c>
      <c r="V180">
        <v>83.841227197498625</v>
      </c>
      <c r="W180" s="1" t="s">
        <v>14</v>
      </c>
      <c r="X180">
        <v>4362.4600000000019</v>
      </c>
      <c r="Y180" s="1" t="s">
        <v>12</v>
      </c>
      <c r="Z180" s="1" t="str">
        <f t="shared" si="2"/>
        <v>&lt;tr&gt; &lt;td&gt;2967213&lt;/td&gt;&lt;td&gt;SERVO FUTURA G PLUS 5W-30-4 X 3.5 L&lt;/td&gt;&lt;td&gt;2005&lt;/td&gt;&lt;td&gt;1301.245&lt;/td&gt;&lt;td&gt;51&lt;/td&gt;&lt;td&gt;0&lt;/td&gt;&lt;td&gt;0&lt;/td&gt;&lt;td&gt;1090.615&lt;/td&gt;&lt;td&gt;914.385&lt;/td&gt;&lt;td&gt;261.252857142857&lt;/td&gt;&lt;td&gt;83.8412271974986&lt;/td&gt;&lt;td&gt;4362.46&lt;/td&gt;&lt;/tr&gt;</v>
      </c>
    </row>
    <row r="181" spans="1:26" x14ac:dyDescent="0.3">
      <c r="A181" s="1" t="s">
        <v>13</v>
      </c>
      <c r="B181">
        <v>2967111</v>
      </c>
      <c r="C181" s="1" t="s">
        <v>14</v>
      </c>
      <c r="D181" t="s">
        <v>278</v>
      </c>
      <c r="E181" s="1" t="s">
        <v>14</v>
      </c>
      <c r="F181">
        <v>2005</v>
      </c>
      <c r="G181" s="1" t="s">
        <v>14</v>
      </c>
      <c r="H181">
        <v>1301.2450000000001</v>
      </c>
      <c r="I181" s="1" t="s">
        <v>14</v>
      </c>
      <c r="J181">
        <v>46</v>
      </c>
      <c r="K181" s="1" t="s">
        <v>14</v>
      </c>
      <c r="L181">
        <v>0</v>
      </c>
      <c r="M181" s="1" t="s">
        <v>14</v>
      </c>
      <c r="N181">
        <v>0</v>
      </c>
      <c r="O181" s="1" t="s">
        <v>14</v>
      </c>
      <c r="P181">
        <v>1111.2650000000001</v>
      </c>
      <c r="Q181" s="1" t="s">
        <v>14</v>
      </c>
      <c r="R181">
        <v>893.7349999999999</v>
      </c>
      <c r="S181" s="1" t="s">
        <v>14</v>
      </c>
      <c r="T181">
        <v>255.35285714285715</v>
      </c>
      <c r="U181" s="1" t="s">
        <v>14</v>
      </c>
      <c r="V181">
        <v>80.425011135957661</v>
      </c>
      <c r="W181" s="1" t="s">
        <v>14</v>
      </c>
      <c r="X181">
        <v>4445.0600000000004</v>
      </c>
      <c r="Y181" s="1" t="s">
        <v>12</v>
      </c>
      <c r="Z181" s="1" t="str">
        <f t="shared" si="2"/>
        <v>&lt;tr&gt; &lt;td&gt;2967111&lt;/td&gt;&lt;td&gt;SERVO FUTURA G PLUS 5W-30-4X3.5 L PROMO&lt;/td&gt;&lt;td&gt;2005&lt;/td&gt;&lt;td&gt;1301.245&lt;/td&gt;&lt;td&gt;46&lt;/td&gt;&lt;td&gt;0&lt;/td&gt;&lt;td&gt;0&lt;/td&gt;&lt;td&gt;1111.265&lt;/td&gt;&lt;td&gt;893.735&lt;/td&gt;&lt;td&gt;255.352857142857&lt;/td&gt;&lt;td&gt;80.4250111359577&lt;/td&gt;&lt;td&gt;4445.06&lt;/td&gt;&lt;/tr&gt;</v>
      </c>
    </row>
    <row r="182" spans="1:26" x14ac:dyDescent="0.3">
      <c r="A182" s="1" t="s">
        <v>13</v>
      </c>
      <c r="B182">
        <v>2967184</v>
      </c>
      <c r="C182" s="1" t="s">
        <v>14</v>
      </c>
      <c r="D182" t="s">
        <v>279</v>
      </c>
      <c r="E182" s="1" t="s">
        <v>14</v>
      </c>
      <c r="F182">
        <v>587</v>
      </c>
      <c r="G182" s="1" t="s">
        <v>14</v>
      </c>
      <c r="H182">
        <v>381.6087</v>
      </c>
      <c r="I182" s="1" t="s">
        <v>14</v>
      </c>
      <c r="J182">
        <v>36</v>
      </c>
      <c r="K182" s="1" t="s">
        <v>14</v>
      </c>
      <c r="L182">
        <v>0</v>
      </c>
      <c r="M182" s="1" t="s">
        <v>14</v>
      </c>
      <c r="N182">
        <v>0</v>
      </c>
      <c r="O182" s="1" t="s">
        <v>14</v>
      </c>
      <c r="P182">
        <v>339.12869999999998</v>
      </c>
      <c r="Q182" s="1" t="s">
        <v>14</v>
      </c>
      <c r="R182">
        <v>247.87130000000002</v>
      </c>
      <c r="S182" s="1" t="s">
        <v>14</v>
      </c>
      <c r="T182">
        <v>247.87130000000002</v>
      </c>
      <c r="U182" s="1" t="s">
        <v>14</v>
      </c>
      <c r="V182">
        <v>73.090629014884328</v>
      </c>
      <c r="W182" s="1" t="s">
        <v>14</v>
      </c>
      <c r="X182">
        <v>6782.5740000000042</v>
      </c>
      <c r="Y182" s="1" t="s">
        <v>12</v>
      </c>
      <c r="Z182" s="1" t="str">
        <f t="shared" si="2"/>
        <v>&lt;tr&gt; &lt;td&gt;2967184&lt;/td&gt;&lt;td&gt;SERVO FUTURA G PLUS 5W-30-20 X 1 L&lt;/td&gt;&lt;td&gt;587&lt;/td&gt;&lt;td&gt;381.6087&lt;/td&gt;&lt;td&gt;36&lt;/td&gt;&lt;td&gt;0&lt;/td&gt;&lt;td&gt;0&lt;/td&gt;&lt;td&gt;339.1287&lt;/td&gt;&lt;td&gt;247.8713&lt;/td&gt;&lt;td&gt;247.8713&lt;/td&gt;&lt;td&gt;73.0906290148843&lt;/td&gt;&lt;td&gt;6782.574&lt;/td&gt;&lt;/tr&gt;</v>
      </c>
    </row>
    <row r="183" spans="1:26" x14ac:dyDescent="0.3">
      <c r="A183" s="1" t="s">
        <v>13</v>
      </c>
      <c r="B183">
        <v>7211213</v>
      </c>
      <c r="C183" s="1" t="s">
        <v>14</v>
      </c>
      <c r="D183" t="s">
        <v>280</v>
      </c>
      <c r="E183" s="1" t="s">
        <v>14</v>
      </c>
      <c r="F183">
        <v>1628</v>
      </c>
      <c r="G183" s="1" t="s">
        <v>14</v>
      </c>
      <c r="H183">
        <v>1280.5847999999999</v>
      </c>
      <c r="I183" s="1" t="s">
        <v>14</v>
      </c>
      <c r="J183">
        <v>56</v>
      </c>
      <c r="K183" s="1" t="s">
        <v>14</v>
      </c>
      <c r="L183">
        <v>0</v>
      </c>
      <c r="M183" s="1" t="s">
        <v>14</v>
      </c>
      <c r="N183">
        <v>0</v>
      </c>
      <c r="O183" s="1" t="s">
        <v>14</v>
      </c>
      <c r="P183">
        <v>1049.3047999999999</v>
      </c>
      <c r="Q183" s="1" t="s">
        <v>14</v>
      </c>
      <c r="R183">
        <v>578.69520000000011</v>
      </c>
      <c r="S183" s="1" t="s">
        <v>14</v>
      </c>
      <c r="T183">
        <v>165.3414857142858</v>
      </c>
      <c r="U183" s="1" t="s">
        <v>14</v>
      </c>
      <c r="V183">
        <v>55.150343351140698</v>
      </c>
      <c r="W183" s="1" t="s">
        <v>14</v>
      </c>
      <c r="X183">
        <v>4197.2192000000005</v>
      </c>
      <c r="Y183" s="1" t="s">
        <v>12</v>
      </c>
      <c r="Z183" s="1" t="str">
        <f t="shared" si="2"/>
        <v>&lt;tr&gt; &lt;td&gt;7211213&lt;/td&gt;&lt;td&gt;SERVO GREENMILE-4 X 3.5 L&lt;/td&gt;&lt;td&gt;1628&lt;/td&gt;&lt;td&gt;1280.5848&lt;/td&gt;&lt;td&gt;56&lt;/td&gt;&lt;td&gt;0&lt;/td&gt;&lt;td&gt;0&lt;/td&gt;&lt;td&gt;1049.3048&lt;/td&gt;&lt;td&gt;578.6952&lt;/td&gt;&lt;td&gt;165.341485714286&lt;/td&gt;&lt;td&gt;55.1503433511407&lt;/td&gt;&lt;td&gt;4197.2192&lt;/td&gt;&lt;/tr&gt;</v>
      </c>
    </row>
    <row r="184" spans="1:26" x14ac:dyDescent="0.3">
      <c r="A184" s="1" t="s">
        <v>13</v>
      </c>
      <c r="B184">
        <v>7271213</v>
      </c>
      <c r="C184" s="1" t="s">
        <v>14</v>
      </c>
      <c r="D184" t="s">
        <v>281</v>
      </c>
      <c r="E184" s="1" t="s">
        <v>14</v>
      </c>
      <c r="F184">
        <v>2520</v>
      </c>
      <c r="G184" s="1" t="s">
        <v>14</v>
      </c>
      <c r="H184">
        <v>1872.1080000000002</v>
      </c>
      <c r="I184" s="1" t="s">
        <v>14</v>
      </c>
      <c r="J184">
        <v>80</v>
      </c>
      <c r="K184" s="1" t="s">
        <v>14</v>
      </c>
      <c r="L184">
        <v>0</v>
      </c>
      <c r="M184" s="1" t="s">
        <v>14</v>
      </c>
      <c r="N184">
        <v>0</v>
      </c>
      <c r="O184" s="1" t="s">
        <v>14</v>
      </c>
      <c r="P184">
        <v>1541.7080000000003</v>
      </c>
      <c r="Q184" s="1" t="s">
        <v>14</v>
      </c>
      <c r="R184">
        <v>978.29199999999969</v>
      </c>
      <c r="S184" s="1" t="s">
        <v>14</v>
      </c>
      <c r="T184">
        <v>279.51199999999989</v>
      </c>
      <c r="U184" s="1" t="s">
        <v>14</v>
      </c>
      <c r="V184">
        <v>63.455077096311328</v>
      </c>
      <c r="W184" s="1" t="s">
        <v>14</v>
      </c>
      <c r="X184">
        <v>6166.8320000000031</v>
      </c>
      <c r="Y184" s="1" t="s">
        <v>12</v>
      </c>
      <c r="Z184" s="1" t="str">
        <f t="shared" si="2"/>
        <v>&lt;tr&gt; &lt;td&gt;7271213&lt;/td&gt;&lt;td&gt;SERVO FUTURA NXT 0W-16-4 X 3.5 L&lt;/td&gt;&lt;td&gt;2520&lt;/td&gt;&lt;td&gt;1872.108&lt;/td&gt;&lt;td&gt;80&lt;/td&gt;&lt;td&gt;0&lt;/td&gt;&lt;td&gt;0&lt;/td&gt;&lt;td&gt;1541.708&lt;/td&gt;&lt;td&gt;978.292&lt;/td&gt;&lt;td&gt;279.512&lt;/td&gt;&lt;td&gt;63.4550770963113&lt;/td&gt;&lt;td&gt;6166.832&lt;/td&gt;&lt;/tr&gt;</v>
      </c>
    </row>
    <row r="185" spans="1:26" x14ac:dyDescent="0.3">
      <c r="A185" s="1" t="s">
        <v>13</v>
      </c>
      <c r="B185">
        <v>7271111</v>
      </c>
      <c r="C185" s="1" t="s">
        <v>14</v>
      </c>
      <c r="D185" t="s">
        <v>282</v>
      </c>
      <c r="E185" s="1" t="s">
        <v>14</v>
      </c>
      <c r="F185">
        <v>2520</v>
      </c>
      <c r="G185" s="1" t="s">
        <v>14</v>
      </c>
      <c r="H185">
        <v>1872.1080000000002</v>
      </c>
      <c r="I185" s="1" t="s">
        <v>14</v>
      </c>
      <c r="J185">
        <v>80</v>
      </c>
      <c r="K185" s="1" t="s">
        <v>14</v>
      </c>
      <c r="L185">
        <v>0</v>
      </c>
      <c r="M185" s="1" t="s">
        <v>14</v>
      </c>
      <c r="N185">
        <v>0</v>
      </c>
      <c r="O185" s="1" t="s">
        <v>14</v>
      </c>
      <c r="P185">
        <v>1541.7080000000003</v>
      </c>
      <c r="Q185" s="1" t="s">
        <v>14</v>
      </c>
      <c r="R185">
        <v>978.29199999999969</v>
      </c>
      <c r="S185" s="1" t="s">
        <v>14</v>
      </c>
      <c r="T185">
        <v>279.51199999999989</v>
      </c>
      <c r="U185" s="1" t="s">
        <v>14</v>
      </c>
      <c r="V185">
        <v>63.455077096311328</v>
      </c>
      <c r="W185" s="1" t="s">
        <v>14</v>
      </c>
      <c r="X185">
        <v>6166.8320000000012</v>
      </c>
      <c r="Y185" s="1" t="s">
        <v>12</v>
      </c>
      <c r="Z185" s="1" t="str">
        <f t="shared" si="2"/>
        <v>&lt;tr&gt; &lt;td&gt;7271111&lt;/td&gt;&lt;td&gt;SERVO FUTURA NXT 0W-16-4X3.5 L PROMO&lt;/td&gt;&lt;td&gt;2520&lt;/td&gt;&lt;td&gt;1872.108&lt;/td&gt;&lt;td&gt;80&lt;/td&gt;&lt;td&gt;0&lt;/td&gt;&lt;td&gt;0&lt;/td&gt;&lt;td&gt;1541.708&lt;/td&gt;&lt;td&gt;978.292&lt;/td&gt;&lt;td&gt;279.512&lt;/td&gt;&lt;td&gt;63.4550770963113&lt;/td&gt;&lt;td&gt;6166.832&lt;/td&gt;&lt;/tr&gt;</v>
      </c>
    </row>
    <row r="186" spans="1:26" x14ac:dyDescent="0.3">
      <c r="A186" s="1" t="s">
        <v>13</v>
      </c>
      <c r="B186">
        <v>7275185</v>
      </c>
      <c r="C186" s="1" t="s">
        <v>14</v>
      </c>
      <c r="D186" t="s">
        <v>283</v>
      </c>
      <c r="E186" s="1" t="s">
        <v>14</v>
      </c>
      <c r="F186">
        <v>1300</v>
      </c>
      <c r="G186" s="1" t="s">
        <v>14</v>
      </c>
      <c r="H186">
        <v>837.72</v>
      </c>
      <c r="I186" s="1" t="s">
        <v>14</v>
      </c>
      <c r="J186">
        <v>96</v>
      </c>
      <c r="K186" s="1" t="s">
        <v>14</v>
      </c>
      <c r="L186">
        <v>0</v>
      </c>
      <c r="M186" s="1" t="s">
        <v>14</v>
      </c>
      <c r="N186">
        <v>0</v>
      </c>
      <c r="O186" s="1" t="s">
        <v>14</v>
      </c>
      <c r="P186">
        <v>724.43999999999994</v>
      </c>
      <c r="Q186" s="1" t="s">
        <v>14</v>
      </c>
      <c r="R186">
        <v>575.56000000000006</v>
      </c>
      <c r="S186" s="1" t="s">
        <v>14</v>
      </c>
      <c r="T186">
        <v>575.56000000000006</v>
      </c>
      <c r="U186" s="1" t="s">
        <v>14</v>
      </c>
      <c r="V186">
        <v>79.448953674562432</v>
      </c>
      <c r="W186" s="1" t="s">
        <v>14</v>
      </c>
      <c r="X186">
        <v>7244.4000000000033</v>
      </c>
      <c r="Y186" s="1" t="s">
        <v>12</v>
      </c>
      <c r="Z186" s="1" t="str">
        <f t="shared" si="2"/>
        <v>&lt;tr&gt; &lt;td&gt;7275185&lt;/td&gt;&lt;td&gt;SERVO BLACKBIRD X-10 X 1 L HDPE&lt;/td&gt;&lt;td&gt;1300&lt;/td&gt;&lt;td&gt;837.72&lt;/td&gt;&lt;td&gt;96&lt;/td&gt;&lt;td&gt;0&lt;/td&gt;&lt;td&gt;0&lt;/td&gt;&lt;td&gt;724.44&lt;/td&gt;&lt;td&gt;575.56&lt;/td&gt;&lt;td&gt;575.56&lt;/td&gt;&lt;td&gt;79.4489536745624&lt;/td&gt;&lt;td&gt;7244.4&lt;/td&gt;&lt;/tr&gt;</v>
      </c>
    </row>
    <row r="187" spans="1:26" x14ac:dyDescent="0.3">
      <c r="A187" s="1" t="s">
        <v>13</v>
      </c>
      <c r="B187">
        <v>7275111</v>
      </c>
      <c r="C187" s="1" t="s">
        <v>14</v>
      </c>
      <c r="D187" t="s">
        <v>284</v>
      </c>
      <c r="E187" s="1" t="s">
        <v>14</v>
      </c>
      <c r="F187">
        <v>4549</v>
      </c>
      <c r="G187" s="1" t="s">
        <v>14</v>
      </c>
      <c r="H187">
        <v>2931.3755999999998</v>
      </c>
      <c r="I187" s="1" t="s">
        <v>14</v>
      </c>
      <c r="J187">
        <v>96</v>
      </c>
      <c r="K187" s="1" t="s">
        <v>14</v>
      </c>
      <c r="L187">
        <v>0</v>
      </c>
      <c r="M187" s="1" t="s">
        <v>14</v>
      </c>
      <c r="N187">
        <v>0</v>
      </c>
      <c r="O187" s="1" t="s">
        <v>14</v>
      </c>
      <c r="P187">
        <v>2534.8955999999998</v>
      </c>
      <c r="Q187" s="1" t="s">
        <v>14</v>
      </c>
      <c r="R187">
        <v>2014.1044000000002</v>
      </c>
      <c r="S187" s="1" t="s">
        <v>14</v>
      </c>
      <c r="T187">
        <v>575.4584000000001</v>
      </c>
      <c r="U187" s="1" t="s">
        <v>14</v>
      </c>
      <c r="V187">
        <v>79.455122333243239</v>
      </c>
      <c r="W187" s="1" t="s">
        <v>14</v>
      </c>
      <c r="X187">
        <v>10139.582399999999</v>
      </c>
      <c r="Y187" s="1" t="s">
        <v>12</v>
      </c>
      <c r="Z187" s="1" t="str">
        <f t="shared" si="2"/>
        <v>&lt;tr&gt; &lt;td&gt;7275111&lt;/td&gt;&lt;td&gt;SERVO BLACKBIRD X-4X3.5 L PROMO&lt;/td&gt;&lt;td&gt;4549&lt;/td&gt;&lt;td&gt;2931.3756&lt;/td&gt;&lt;td&gt;96&lt;/td&gt;&lt;td&gt;0&lt;/td&gt;&lt;td&gt;0&lt;/td&gt;&lt;td&gt;2534.8956&lt;/td&gt;&lt;td&gt;2014.1044&lt;/td&gt;&lt;td&gt;575.4584&lt;/td&gt;&lt;td&gt;79.4551223332432&lt;/td&gt;&lt;td&gt;10139.5824&lt;/td&gt;&lt;/tr&gt;</v>
      </c>
    </row>
    <row r="188" spans="1:26" x14ac:dyDescent="0.3">
      <c r="A188" s="1" t="s">
        <v>13</v>
      </c>
      <c r="B188">
        <v>7275220</v>
      </c>
      <c r="C188" s="1" t="s">
        <v>14</v>
      </c>
      <c r="D188" t="s">
        <v>285</v>
      </c>
      <c r="E188" s="1" t="s">
        <v>14</v>
      </c>
      <c r="F188">
        <v>5199</v>
      </c>
      <c r="G188" s="1" t="s">
        <v>14</v>
      </c>
      <c r="H188">
        <v>3350.2356</v>
      </c>
      <c r="I188" s="1" t="s">
        <v>14</v>
      </c>
      <c r="J188">
        <v>96</v>
      </c>
      <c r="K188" s="1" t="s">
        <v>14</v>
      </c>
      <c r="L188">
        <v>0</v>
      </c>
      <c r="M188" s="1" t="s">
        <v>14</v>
      </c>
      <c r="N188">
        <v>0</v>
      </c>
      <c r="O188" s="1" t="s">
        <v>14</v>
      </c>
      <c r="P188">
        <v>2897.1156000000001</v>
      </c>
      <c r="Q188" s="1" t="s">
        <v>14</v>
      </c>
      <c r="R188">
        <v>2301.8843999999999</v>
      </c>
      <c r="S188" s="1" t="s">
        <v>14</v>
      </c>
      <c r="T188">
        <v>575.47109999999998</v>
      </c>
      <c r="U188" s="1" t="s">
        <v>14</v>
      </c>
      <c r="V188">
        <v>79.454351079397725</v>
      </c>
      <c r="W188" s="1" t="s">
        <v>14</v>
      </c>
      <c r="X188">
        <v>11588.4624</v>
      </c>
      <c r="Y188" s="1" t="s">
        <v>12</v>
      </c>
      <c r="Z188" s="1" t="str">
        <f t="shared" si="2"/>
        <v>&lt;tr&gt; &lt;td&gt;7275220&lt;/td&gt;&lt;td&gt;SERVO BLACKBIRD X-4 x 4 L PROMO&lt;/td&gt;&lt;td&gt;5199&lt;/td&gt;&lt;td&gt;3350.2356&lt;/td&gt;&lt;td&gt;96&lt;/td&gt;&lt;td&gt;0&lt;/td&gt;&lt;td&gt;0&lt;/td&gt;&lt;td&gt;2897.1156&lt;/td&gt;&lt;td&gt;2301.8844&lt;/td&gt;&lt;td&gt;575.4711&lt;/td&gt;&lt;td&gt;79.4543510793977&lt;/td&gt;&lt;td&gt;11588.4624&lt;/td&gt;&lt;/tr&gt;</v>
      </c>
    </row>
    <row r="189" spans="1:26" x14ac:dyDescent="0.3">
      <c r="A189" s="1" t="s">
        <v>13</v>
      </c>
      <c r="B189">
        <v>2900103</v>
      </c>
      <c r="C189" s="1" t="s">
        <v>14</v>
      </c>
      <c r="D189" t="s">
        <v>286</v>
      </c>
      <c r="E189" s="1" t="s">
        <v>14</v>
      </c>
      <c r="F189">
        <v>11</v>
      </c>
      <c r="G189" s="1" t="s">
        <v>14</v>
      </c>
      <c r="H189">
        <v>6.9101999999999997</v>
      </c>
      <c r="I189" s="1" t="s">
        <v>14</v>
      </c>
      <c r="J189">
        <v>0</v>
      </c>
      <c r="K189" s="1" t="s">
        <v>14</v>
      </c>
      <c r="L189">
        <v>0</v>
      </c>
      <c r="M189" s="1" t="s">
        <v>14</v>
      </c>
      <c r="N189">
        <v>0</v>
      </c>
      <c r="O189" s="1" t="s">
        <v>14</v>
      </c>
      <c r="P189">
        <v>6.9101999999999997</v>
      </c>
      <c r="Q189" s="1" t="s">
        <v>14</v>
      </c>
      <c r="R189">
        <v>4.0898000000000003</v>
      </c>
      <c r="S189" s="1" t="s">
        <v>14</v>
      </c>
      <c r="T189">
        <v>204.49</v>
      </c>
      <c r="U189" s="1" t="s">
        <v>14</v>
      </c>
      <c r="V189">
        <v>59.184972938554601</v>
      </c>
      <c r="W189" s="1" t="s">
        <v>14</v>
      </c>
      <c r="X189">
        <v>4146.1200000000008</v>
      </c>
      <c r="Y189" s="1" t="s">
        <v>12</v>
      </c>
      <c r="Z189" s="1" t="str">
        <f t="shared" si="2"/>
        <v>&lt;tr&gt; &lt;td&gt;2900103&lt;/td&gt;&lt;td&gt;SERVO 2T SUPREME-600 X 20 ML&lt;/td&gt;&lt;td&gt;11&lt;/td&gt;&lt;td&gt;6.9102&lt;/td&gt;&lt;td&gt;0&lt;/td&gt;&lt;td&gt;0&lt;/td&gt;&lt;td&gt;0&lt;/td&gt;&lt;td&gt;6.9102&lt;/td&gt;&lt;td&gt;4.0898&lt;/td&gt;&lt;td&gt;204.49&lt;/td&gt;&lt;td&gt;59.1849729385546&lt;/td&gt;&lt;td&gt;4146.12&lt;/td&gt;&lt;/tr&gt;</v>
      </c>
    </row>
    <row r="190" spans="1:26" x14ac:dyDescent="0.3">
      <c r="A190" s="1" t="s">
        <v>13</v>
      </c>
      <c r="B190">
        <v>2900125</v>
      </c>
      <c r="C190" s="1" t="s">
        <v>14</v>
      </c>
      <c r="D190" t="s">
        <v>287</v>
      </c>
      <c r="E190" s="1" t="s">
        <v>14</v>
      </c>
      <c r="F190">
        <v>18</v>
      </c>
      <c r="G190" s="1" t="s">
        <v>14</v>
      </c>
      <c r="H190">
        <v>12.69</v>
      </c>
      <c r="I190" s="1" t="s">
        <v>14</v>
      </c>
      <c r="J190">
        <v>0</v>
      </c>
      <c r="K190" s="1" t="s">
        <v>14</v>
      </c>
      <c r="L190">
        <v>0</v>
      </c>
      <c r="M190" s="1" t="s">
        <v>14</v>
      </c>
      <c r="N190">
        <v>0</v>
      </c>
      <c r="O190" s="1" t="s">
        <v>14</v>
      </c>
      <c r="P190">
        <v>12.69</v>
      </c>
      <c r="Q190" s="1" t="s">
        <v>14</v>
      </c>
      <c r="R190">
        <v>5.3100000000000005</v>
      </c>
      <c r="S190" s="1" t="s">
        <v>14</v>
      </c>
      <c r="T190">
        <v>132.75</v>
      </c>
      <c r="U190" s="1" t="s">
        <v>14</v>
      </c>
      <c r="V190">
        <v>41.843971631205676</v>
      </c>
      <c r="W190" s="1" t="s">
        <v>14</v>
      </c>
      <c r="X190">
        <v>3807</v>
      </c>
      <c r="Y190" s="1" t="s">
        <v>12</v>
      </c>
      <c r="Z190" s="1" t="str">
        <f t="shared" si="2"/>
        <v>&lt;tr&gt; &lt;td&gt;2900125&lt;/td&gt;&lt;td&gt;SERVO 2T SUPREME(JFC)-300x40ML - POU&lt;/td&gt;&lt;td&gt;18&lt;/td&gt;&lt;td&gt;12.69&lt;/td&gt;&lt;td&gt;0&lt;/td&gt;&lt;td&gt;0&lt;/td&gt;&lt;td&gt;0&lt;/td&gt;&lt;td&gt;12.69&lt;/td&gt;&lt;td&gt;5.31&lt;/td&gt;&lt;td&gt;132.75&lt;/td&gt;&lt;td&gt;41.8439716312057&lt;/td&gt;&lt;td&gt;3807&lt;/td&gt;&lt;/tr&gt;</v>
      </c>
    </row>
    <row r="191" spans="1:26" x14ac:dyDescent="0.3">
      <c r="A191" s="1" t="s">
        <v>13</v>
      </c>
      <c r="B191">
        <v>2900145</v>
      </c>
      <c r="C191" s="1" t="s">
        <v>14</v>
      </c>
      <c r="D191" t="s">
        <v>288</v>
      </c>
      <c r="E191" s="1" t="s">
        <v>14</v>
      </c>
      <c r="F191">
        <v>23</v>
      </c>
      <c r="G191" s="1" t="s">
        <v>14</v>
      </c>
      <c r="H191">
        <v>17.990600000000001</v>
      </c>
      <c r="I191" s="1" t="s">
        <v>14</v>
      </c>
      <c r="J191">
        <v>0</v>
      </c>
      <c r="K191" s="1" t="s">
        <v>14</v>
      </c>
      <c r="L191">
        <v>0</v>
      </c>
      <c r="M191" s="1" t="s">
        <v>14</v>
      </c>
      <c r="N191">
        <v>0</v>
      </c>
      <c r="O191" s="1" t="s">
        <v>14</v>
      </c>
      <c r="P191">
        <v>17.990600000000001</v>
      </c>
      <c r="Q191" s="1" t="s">
        <v>14</v>
      </c>
      <c r="R191">
        <v>5.0093999999999994</v>
      </c>
      <c r="S191" s="1" t="s">
        <v>14</v>
      </c>
      <c r="T191">
        <v>83.490000000000009</v>
      </c>
      <c r="U191" s="1" t="s">
        <v>14</v>
      </c>
      <c r="V191">
        <v>27.84454103809767</v>
      </c>
      <c r="W191" s="1" t="s">
        <v>14</v>
      </c>
      <c r="X191">
        <v>3598.12</v>
      </c>
      <c r="Y191" s="1" t="s">
        <v>12</v>
      </c>
      <c r="Z191" s="1" t="str">
        <f t="shared" si="2"/>
        <v>&lt;tr&gt; &lt;td&gt;2900145&lt;/td&gt;&lt;td&gt;SERVO 2T SUPREME (JFC) - 200X60ML - POU&lt;/td&gt;&lt;td&gt;23&lt;/td&gt;&lt;td&gt;17.9906&lt;/td&gt;&lt;td&gt;0&lt;/td&gt;&lt;td&gt;0&lt;/td&gt;&lt;td&gt;0&lt;/td&gt;&lt;td&gt;17.9906&lt;/td&gt;&lt;td&gt;5.0094&lt;/td&gt;&lt;td&gt;83.49&lt;/td&gt;&lt;td&gt;27.8445410380977&lt;/td&gt;&lt;td&gt;3598.12&lt;/td&gt;&lt;/tr&gt;</v>
      </c>
    </row>
    <row r="192" spans="1:26" x14ac:dyDescent="0.3">
      <c r="A192" s="1" t="s">
        <v>13</v>
      </c>
      <c r="B192">
        <v>2900165</v>
      </c>
      <c r="C192" s="1" t="s">
        <v>14</v>
      </c>
      <c r="D192" t="s">
        <v>289</v>
      </c>
      <c r="E192" s="1" t="s">
        <v>14</v>
      </c>
      <c r="F192">
        <v>106</v>
      </c>
      <c r="G192" s="1" t="s">
        <v>14</v>
      </c>
      <c r="H192">
        <v>74.263600000000011</v>
      </c>
      <c r="I192" s="1" t="s">
        <v>14</v>
      </c>
      <c r="J192">
        <v>0</v>
      </c>
      <c r="K192" s="1" t="s">
        <v>14</v>
      </c>
      <c r="L192">
        <v>0</v>
      </c>
      <c r="M192" s="1" t="s">
        <v>14</v>
      </c>
      <c r="N192">
        <v>0</v>
      </c>
      <c r="O192" s="1" t="s">
        <v>14</v>
      </c>
      <c r="P192">
        <v>74.263600000000011</v>
      </c>
      <c r="Q192" s="1" t="s">
        <v>14</v>
      </c>
      <c r="R192">
        <v>31.736399999999989</v>
      </c>
      <c r="S192" s="1" t="s">
        <v>14</v>
      </c>
      <c r="T192">
        <v>126.94559999999996</v>
      </c>
      <c r="U192" s="1" t="s">
        <v>14</v>
      </c>
      <c r="V192">
        <v>42.734798743933752</v>
      </c>
      <c r="W192" s="1" t="s">
        <v>14</v>
      </c>
      <c r="X192">
        <v>1485.2720000000002</v>
      </c>
      <c r="Y192" s="1" t="s">
        <v>12</v>
      </c>
      <c r="Z192" s="1" t="str">
        <f t="shared" si="2"/>
        <v>&lt;tr&gt; &lt;td&gt;2900165&lt;/td&gt;&lt;td&gt;SERVO 2T SUPREME-20X1/4 L&lt;/td&gt;&lt;td&gt;106&lt;/td&gt;&lt;td&gt;74.2636&lt;/td&gt;&lt;td&gt;0&lt;/td&gt;&lt;td&gt;0&lt;/td&gt;&lt;td&gt;0&lt;/td&gt;&lt;td&gt;74.2636&lt;/td&gt;&lt;td&gt;31.7364&lt;/td&gt;&lt;td&gt;126.9456&lt;/td&gt;&lt;td&gt;42.7347987439338&lt;/td&gt;&lt;td&gt;1485.272&lt;/td&gt;&lt;/tr&gt;</v>
      </c>
    </row>
    <row r="193" spans="1:26" x14ac:dyDescent="0.3">
      <c r="A193" s="1" t="s">
        <v>13</v>
      </c>
      <c r="B193">
        <v>2900175</v>
      </c>
      <c r="C193" s="1" t="s">
        <v>14</v>
      </c>
      <c r="D193" t="s">
        <v>290</v>
      </c>
      <c r="E193" s="1" t="s">
        <v>14</v>
      </c>
      <c r="F193">
        <v>188</v>
      </c>
      <c r="G193" s="1" t="s">
        <v>14</v>
      </c>
      <c r="H193">
        <v>146.56479999999999</v>
      </c>
      <c r="I193" s="1" t="s">
        <v>14</v>
      </c>
      <c r="J193">
        <v>0</v>
      </c>
      <c r="K193" s="1" t="s">
        <v>14</v>
      </c>
      <c r="L193">
        <v>0</v>
      </c>
      <c r="M193" s="1" t="s">
        <v>14</v>
      </c>
      <c r="N193">
        <v>0</v>
      </c>
      <c r="O193" s="1" t="s">
        <v>14</v>
      </c>
      <c r="P193">
        <v>146.56479999999999</v>
      </c>
      <c r="Q193" s="1" t="s">
        <v>14</v>
      </c>
      <c r="R193">
        <v>41.435200000000009</v>
      </c>
      <c r="S193" s="1" t="s">
        <v>14</v>
      </c>
      <c r="T193">
        <v>82.870400000000018</v>
      </c>
      <c r="U193" s="1" t="s">
        <v>14</v>
      </c>
      <c r="V193">
        <v>28.270908158029766</v>
      </c>
      <c r="W193" s="1" t="s">
        <v>14</v>
      </c>
      <c r="X193">
        <v>2931.2960000000012</v>
      </c>
      <c r="Y193" s="1" t="s">
        <v>12</v>
      </c>
      <c r="Z193" s="1" t="str">
        <f t="shared" si="2"/>
        <v>&lt;tr&gt; &lt;td&gt;2900175&lt;/td&gt;&lt;td&gt;SERVO 2T SUPREME-20X1/2 L&lt;/td&gt;&lt;td&gt;188&lt;/td&gt;&lt;td&gt;146.5648&lt;/td&gt;&lt;td&gt;0&lt;/td&gt;&lt;td&gt;0&lt;/td&gt;&lt;td&gt;0&lt;/td&gt;&lt;td&gt;146.5648&lt;/td&gt;&lt;td&gt;41.4352&lt;/td&gt;&lt;td&gt;82.8704&lt;/td&gt;&lt;td&gt;28.2709081580298&lt;/td&gt;&lt;td&gt;2931.296&lt;/td&gt;&lt;/tr&gt;</v>
      </c>
    </row>
    <row r="194" spans="1:26" x14ac:dyDescent="0.3">
      <c r="A194" s="1" t="s">
        <v>13</v>
      </c>
      <c r="B194">
        <v>2900184</v>
      </c>
      <c r="C194" s="1" t="s">
        <v>14</v>
      </c>
      <c r="D194" t="s">
        <v>291</v>
      </c>
      <c r="E194" s="1" t="s">
        <v>14</v>
      </c>
      <c r="F194">
        <v>357</v>
      </c>
      <c r="G194" s="1" t="s">
        <v>14</v>
      </c>
      <c r="H194">
        <v>287.0994</v>
      </c>
      <c r="I194" s="1" t="s">
        <v>14</v>
      </c>
      <c r="J194">
        <v>0</v>
      </c>
      <c r="K194" s="1" t="s">
        <v>14</v>
      </c>
      <c r="L194">
        <v>0</v>
      </c>
      <c r="M194" s="1" t="s">
        <v>14</v>
      </c>
      <c r="N194">
        <v>0</v>
      </c>
      <c r="O194" s="1" t="s">
        <v>14</v>
      </c>
      <c r="P194">
        <v>287.0994</v>
      </c>
      <c r="Q194" s="1" t="s">
        <v>14</v>
      </c>
      <c r="R194">
        <v>69.900599999999997</v>
      </c>
      <c r="S194" s="1" t="s">
        <v>14</v>
      </c>
      <c r="T194">
        <v>69.900599999999997</v>
      </c>
      <c r="U194" s="1" t="s">
        <v>14</v>
      </c>
      <c r="V194">
        <v>24.347177319074856</v>
      </c>
      <c r="W194" s="1" t="s">
        <v>14</v>
      </c>
      <c r="X194">
        <v>5741.9880000000039</v>
      </c>
      <c r="Y194" s="1" t="s">
        <v>12</v>
      </c>
      <c r="Z194" s="1" t="str">
        <f t="shared" si="2"/>
        <v>&lt;tr&gt; &lt;td&gt;2900184&lt;/td&gt;&lt;td&gt;SERVO 2T SUPREME-20 X 1 L&lt;/td&gt;&lt;td&gt;357&lt;/td&gt;&lt;td&gt;287.0994&lt;/td&gt;&lt;td&gt;0&lt;/td&gt;&lt;td&gt;0&lt;/td&gt;&lt;td&gt;0&lt;/td&gt;&lt;td&gt;287.0994&lt;/td&gt;&lt;td&gt;69.9006&lt;/td&gt;&lt;td&gt;69.9006&lt;/td&gt;&lt;td&gt;24.3471773190749&lt;/td&gt;&lt;td&gt;5741.988&lt;/td&gt;&lt;/tr&gt;</v>
      </c>
    </row>
    <row r="195" spans="1:26" x14ac:dyDescent="0.3">
      <c r="A195" s="1" t="s">
        <v>13</v>
      </c>
      <c r="B195">
        <v>7701341</v>
      </c>
      <c r="C195" s="1" t="s">
        <v>14</v>
      </c>
      <c r="D195" t="s">
        <v>292</v>
      </c>
      <c r="E195" s="1" t="s">
        <v>14</v>
      </c>
      <c r="F195">
        <v>6929</v>
      </c>
      <c r="G195" s="1" t="s">
        <v>14</v>
      </c>
      <c r="H195">
        <v>5817.5883999999996</v>
      </c>
      <c r="I195" s="1" t="s">
        <v>14</v>
      </c>
      <c r="J195">
        <v>26</v>
      </c>
      <c r="K195" s="1" t="s">
        <v>14</v>
      </c>
      <c r="L195">
        <v>0</v>
      </c>
      <c r="M195" s="1" t="s">
        <v>14</v>
      </c>
      <c r="N195">
        <v>0</v>
      </c>
      <c r="O195" s="1" t="s">
        <v>14</v>
      </c>
      <c r="P195">
        <v>5203.9883999999993</v>
      </c>
      <c r="Q195" s="1" t="s">
        <v>14</v>
      </c>
      <c r="R195">
        <v>1725.0116000000007</v>
      </c>
      <c r="S195" s="1" t="s">
        <v>14</v>
      </c>
      <c r="T195">
        <v>86.250580000000014</v>
      </c>
      <c r="U195" s="1" t="s">
        <v>14</v>
      </c>
      <c r="V195">
        <v>33.147875579430597</v>
      </c>
      <c r="W195" s="1" t="s">
        <v>14</v>
      </c>
      <c r="X195">
        <v>5203.988400000002</v>
      </c>
      <c r="Y195" s="1" t="s">
        <v>12</v>
      </c>
      <c r="Z195" s="1" t="str">
        <f t="shared" ref="Z195:Z258" si="3">CONCATENATE(A195,B195,C195,D195,E195,F195,G195,H195,I195,J195,K195,L195,M195,N195,O195,P195,Q195,R195,S195,T195,U195,V195,W195,X195,Y195)</f>
        <v>&lt;tr&gt; &lt;td&gt;7701341&lt;/td&gt;&lt;td&gt;SERVO GREASE MP-20 KG BUC&lt;/td&gt;&lt;td&gt;6929&lt;/td&gt;&lt;td&gt;5817.5884&lt;/td&gt;&lt;td&gt;26&lt;/td&gt;&lt;td&gt;0&lt;/td&gt;&lt;td&gt;0&lt;/td&gt;&lt;td&gt;5203.9884&lt;/td&gt;&lt;td&gt;1725.0116&lt;/td&gt;&lt;td&gt;86.25058&lt;/td&gt;&lt;td&gt;33.1478755794306&lt;/td&gt;&lt;td&gt;5203.9884&lt;/td&gt;&lt;/tr&gt;</v>
      </c>
    </row>
    <row r="196" spans="1:26" x14ac:dyDescent="0.3">
      <c r="A196" s="1" t="s">
        <v>13</v>
      </c>
      <c r="B196">
        <v>7705303</v>
      </c>
      <c r="C196" s="1" t="s">
        <v>14</v>
      </c>
      <c r="D196" t="s">
        <v>293</v>
      </c>
      <c r="E196" s="1" t="s">
        <v>14</v>
      </c>
      <c r="F196">
        <v>230</v>
      </c>
      <c r="G196" s="1" t="s">
        <v>14</v>
      </c>
      <c r="H196">
        <v>175.60499999999999</v>
      </c>
      <c r="I196" s="1" t="s">
        <v>14</v>
      </c>
      <c r="J196">
        <v>45</v>
      </c>
      <c r="K196" s="1" t="s">
        <v>14</v>
      </c>
      <c r="L196">
        <v>0</v>
      </c>
      <c r="M196" s="1" t="s">
        <v>14</v>
      </c>
      <c r="N196">
        <v>0</v>
      </c>
      <c r="O196" s="1" t="s">
        <v>14</v>
      </c>
      <c r="P196">
        <v>149.05500000000001</v>
      </c>
      <c r="Q196" s="1" t="s">
        <v>14</v>
      </c>
      <c r="R196">
        <v>80.944999999999993</v>
      </c>
      <c r="S196" s="1" t="s">
        <v>14</v>
      </c>
      <c r="T196">
        <v>161.88999999999999</v>
      </c>
      <c r="U196" s="1" t="s">
        <v>14</v>
      </c>
      <c r="V196">
        <v>54.305457716950109</v>
      </c>
      <c r="W196" s="1" t="s">
        <v>14</v>
      </c>
      <c r="X196">
        <v>2981.0999999999995</v>
      </c>
      <c r="Y196" s="1" t="s">
        <v>12</v>
      </c>
      <c r="Z196" s="1" t="str">
        <f t="shared" si="3"/>
        <v>&lt;tr&gt; &lt;td&gt;7705303&lt;/td&gt;&lt;td&gt;SERVO GREASE MP 3 - 20 X 1/2 KG CTN&lt;/td&gt;&lt;td&gt;230&lt;/td&gt;&lt;td&gt;175.605&lt;/td&gt;&lt;td&gt;45&lt;/td&gt;&lt;td&gt;0&lt;/td&gt;&lt;td&gt;0&lt;/td&gt;&lt;td&gt;149.055&lt;/td&gt;&lt;td&gt;80.945&lt;/td&gt;&lt;td&gt;161.89&lt;/td&gt;&lt;td&gt;54.3054577169501&lt;/td&gt;&lt;td&gt;2981.1&lt;/td&gt;&lt;/tr&gt;</v>
      </c>
    </row>
    <row r="197" spans="1:26" x14ac:dyDescent="0.3">
      <c r="A197" s="1" t="s">
        <v>13</v>
      </c>
      <c r="B197">
        <v>7705313</v>
      </c>
      <c r="C197" s="1" t="s">
        <v>14</v>
      </c>
      <c r="D197" t="s">
        <v>294</v>
      </c>
      <c r="E197" s="1" t="s">
        <v>14</v>
      </c>
      <c r="F197">
        <v>450</v>
      </c>
      <c r="G197" s="1" t="s">
        <v>14</v>
      </c>
      <c r="H197">
        <v>349.83</v>
      </c>
      <c r="I197" s="1" t="s">
        <v>14</v>
      </c>
      <c r="J197">
        <v>45</v>
      </c>
      <c r="K197" s="1" t="s">
        <v>14</v>
      </c>
      <c r="L197">
        <v>0</v>
      </c>
      <c r="M197" s="1" t="s">
        <v>14</v>
      </c>
      <c r="N197">
        <v>0</v>
      </c>
      <c r="O197" s="1" t="s">
        <v>14</v>
      </c>
      <c r="P197">
        <v>296.73</v>
      </c>
      <c r="Q197" s="1" t="s">
        <v>14</v>
      </c>
      <c r="R197">
        <v>153.26999999999998</v>
      </c>
      <c r="S197" s="1" t="s">
        <v>14</v>
      </c>
      <c r="T197">
        <v>153.26999999999998</v>
      </c>
      <c r="U197" s="1" t="s">
        <v>14</v>
      </c>
      <c r="V197">
        <v>51.653017895056095</v>
      </c>
      <c r="W197" s="1" t="s">
        <v>14</v>
      </c>
      <c r="X197">
        <v>2967.3</v>
      </c>
      <c r="Y197" s="1" t="s">
        <v>12</v>
      </c>
      <c r="Z197" s="1" t="str">
        <f t="shared" si="3"/>
        <v>&lt;tr&gt; &lt;td&gt;7705313&lt;/td&gt;&lt;td&gt;SERVO GREASE MP 3 - 10 X 1 KG CTN&lt;/td&gt;&lt;td&gt;450&lt;/td&gt;&lt;td&gt;349.83&lt;/td&gt;&lt;td&gt;45&lt;/td&gt;&lt;td&gt;0&lt;/td&gt;&lt;td&gt;0&lt;/td&gt;&lt;td&gt;296.73&lt;/td&gt;&lt;td&gt;153.27&lt;/td&gt;&lt;td&gt;153.27&lt;/td&gt;&lt;td&gt;51.6530178950561&lt;/td&gt;&lt;td&gt;2967.3&lt;/td&gt;&lt;/tr&gt;</v>
      </c>
    </row>
    <row r="198" spans="1:26" x14ac:dyDescent="0.3">
      <c r="A198" s="1" t="s">
        <v>13</v>
      </c>
      <c r="B198">
        <v>7705327</v>
      </c>
      <c r="C198" s="1" t="s">
        <v>14</v>
      </c>
      <c r="D198" t="s">
        <v>295</v>
      </c>
      <c r="E198" s="1" t="s">
        <v>14</v>
      </c>
      <c r="F198">
        <v>840</v>
      </c>
      <c r="G198" s="1" t="s">
        <v>14</v>
      </c>
      <c r="H198">
        <v>687.87600000000009</v>
      </c>
      <c r="I198" s="1" t="s">
        <v>14</v>
      </c>
      <c r="J198">
        <v>45</v>
      </c>
      <c r="K198" s="1" t="s">
        <v>14</v>
      </c>
      <c r="L198">
        <v>0</v>
      </c>
      <c r="M198" s="1" t="s">
        <v>14</v>
      </c>
      <c r="N198">
        <v>0</v>
      </c>
      <c r="O198" s="1" t="s">
        <v>14</v>
      </c>
      <c r="P198">
        <v>581.67600000000004</v>
      </c>
      <c r="Q198" s="1" t="s">
        <v>14</v>
      </c>
      <c r="R198">
        <v>258.32399999999996</v>
      </c>
      <c r="S198" s="1" t="s">
        <v>14</v>
      </c>
      <c r="T198">
        <v>129.16199999999998</v>
      </c>
      <c r="U198" s="1" t="s">
        <v>14</v>
      </c>
      <c r="V198">
        <v>44.410290264683425</v>
      </c>
      <c r="W198" s="1" t="s">
        <v>14</v>
      </c>
      <c r="X198">
        <v>3490.0560000000014</v>
      </c>
      <c r="Y198" s="1" t="s">
        <v>12</v>
      </c>
      <c r="Z198" s="1" t="str">
        <f t="shared" si="3"/>
        <v>&lt;tr&gt; &lt;td&gt;7705327&lt;/td&gt;&lt;td&gt;SERVOGREASE MP 3-6X2 KG&lt;/td&gt;&lt;td&gt;840&lt;/td&gt;&lt;td&gt;687.876&lt;/td&gt;&lt;td&gt;45&lt;/td&gt;&lt;td&gt;0&lt;/td&gt;&lt;td&gt;0&lt;/td&gt;&lt;td&gt;581.676&lt;/td&gt;&lt;td&gt;258.324&lt;/td&gt;&lt;td&gt;129.162&lt;/td&gt;&lt;td&gt;44.4102902646834&lt;/td&gt;&lt;td&gt;3490.056&lt;/td&gt;&lt;/tr&gt;</v>
      </c>
    </row>
    <row r="199" spans="1:26" x14ac:dyDescent="0.3">
      <c r="A199" s="1" t="s">
        <v>13</v>
      </c>
      <c r="B199">
        <v>7705337</v>
      </c>
      <c r="C199" s="1" t="s">
        <v>14</v>
      </c>
      <c r="D199" t="s">
        <v>296</v>
      </c>
      <c r="E199" s="1" t="s">
        <v>14</v>
      </c>
      <c r="F199">
        <v>1235</v>
      </c>
      <c r="G199" s="1" t="s">
        <v>14</v>
      </c>
      <c r="H199">
        <v>1019.4924999999999</v>
      </c>
      <c r="I199" s="1" t="s">
        <v>14</v>
      </c>
      <c r="J199">
        <v>45</v>
      </c>
      <c r="K199" s="1" t="s">
        <v>14</v>
      </c>
      <c r="L199">
        <v>0</v>
      </c>
      <c r="M199" s="1" t="s">
        <v>14</v>
      </c>
      <c r="N199">
        <v>0</v>
      </c>
      <c r="O199" s="1" t="s">
        <v>14</v>
      </c>
      <c r="P199">
        <v>860.1925</v>
      </c>
      <c r="Q199" s="1" t="s">
        <v>14</v>
      </c>
      <c r="R199">
        <v>374.8075</v>
      </c>
      <c r="S199" s="1" t="s">
        <v>14</v>
      </c>
      <c r="T199">
        <v>124.93583333333333</v>
      </c>
      <c r="U199" s="1" t="s">
        <v>14</v>
      </c>
      <c r="V199">
        <v>43.572514291859086</v>
      </c>
      <c r="W199" s="1" t="s">
        <v>14</v>
      </c>
      <c r="X199">
        <v>3440.7699999999995</v>
      </c>
      <c r="Y199" s="1" t="s">
        <v>12</v>
      </c>
      <c r="Z199" s="1" t="str">
        <f t="shared" si="3"/>
        <v>&lt;tr&gt; &lt;td&gt;7705337&lt;/td&gt;&lt;td&gt;SERVOGREASE MP 3-4X3 KG&lt;/td&gt;&lt;td&gt;1235&lt;/td&gt;&lt;td&gt;1019.4925&lt;/td&gt;&lt;td&gt;45&lt;/td&gt;&lt;td&gt;0&lt;/td&gt;&lt;td&gt;0&lt;/td&gt;&lt;td&gt;860.1925&lt;/td&gt;&lt;td&gt;374.8075&lt;/td&gt;&lt;td&gt;124.935833333333&lt;/td&gt;&lt;td&gt;43.5725142918591&lt;/td&gt;&lt;td&gt;3440.77&lt;/td&gt;&lt;/tr&gt;</v>
      </c>
    </row>
    <row r="200" spans="1:26" x14ac:dyDescent="0.3">
      <c r="A200" s="1" t="s">
        <v>13</v>
      </c>
      <c r="B200">
        <v>7705339</v>
      </c>
      <c r="C200" s="1" t="s">
        <v>14</v>
      </c>
      <c r="D200" t="s">
        <v>297</v>
      </c>
      <c r="E200" s="1" t="s">
        <v>14</v>
      </c>
      <c r="F200">
        <v>2030</v>
      </c>
      <c r="G200" s="1" t="s">
        <v>14</v>
      </c>
      <c r="H200">
        <v>1660.3370000000002</v>
      </c>
      <c r="I200" s="1" t="s">
        <v>14</v>
      </c>
      <c r="J200">
        <v>45</v>
      </c>
      <c r="K200" s="1" t="s">
        <v>14</v>
      </c>
      <c r="L200">
        <v>0</v>
      </c>
      <c r="M200" s="1" t="s">
        <v>14</v>
      </c>
      <c r="N200">
        <v>0</v>
      </c>
      <c r="O200" s="1" t="s">
        <v>14</v>
      </c>
      <c r="P200">
        <v>1394.8370000000002</v>
      </c>
      <c r="Q200" s="1" t="s">
        <v>14</v>
      </c>
      <c r="R200">
        <v>635.16299999999978</v>
      </c>
      <c r="S200" s="1" t="s">
        <v>14</v>
      </c>
      <c r="T200">
        <v>127.03259999999995</v>
      </c>
      <c r="U200" s="1" t="s">
        <v>14</v>
      </c>
      <c r="V200">
        <v>45.536718627337798</v>
      </c>
      <c r="W200" s="1" t="s">
        <v>14</v>
      </c>
      <c r="X200">
        <v>1394.8370000000002</v>
      </c>
      <c r="Y200" s="1" t="s">
        <v>12</v>
      </c>
      <c r="Z200" s="1" t="str">
        <f t="shared" si="3"/>
        <v>&lt;tr&gt; &lt;td&gt;7705339&lt;/td&gt;&lt;td&gt;SERVOGREASE MP 3 - 5 KG BUC&lt;/td&gt;&lt;td&gt;2030&lt;/td&gt;&lt;td&gt;1660.337&lt;/td&gt;&lt;td&gt;45&lt;/td&gt;&lt;td&gt;0&lt;/td&gt;&lt;td&gt;0&lt;/td&gt;&lt;td&gt;1394.837&lt;/td&gt;&lt;td&gt;635.163&lt;/td&gt;&lt;td&gt;127.0326&lt;/td&gt;&lt;td&gt;45.5367186273378&lt;/td&gt;&lt;td&gt;1394.837&lt;/td&gt;&lt;/tr&gt;</v>
      </c>
    </row>
    <row r="201" spans="1:26" x14ac:dyDescent="0.3">
      <c r="A201" s="1" t="s">
        <v>13</v>
      </c>
      <c r="B201">
        <v>7705340</v>
      </c>
      <c r="C201" s="1" t="s">
        <v>14</v>
      </c>
      <c r="D201" t="s">
        <v>298</v>
      </c>
      <c r="E201" s="1" t="s">
        <v>14</v>
      </c>
      <c r="F201">
        <v>2030</v>
      </c>
      <c r="G201" s="1" t="s">
        <v>14</v>
      </c>
      <c r="H201">
        <v>1660.3370000000002</v>
      </c>
      <c r="I201" s="1" t="s">
        <v>14</v>
      </c>
      <c r="J201">
        <v>45</v>
      </c>
      <c r="K201" s="1" t="s">
        <v>14</v>
      </c>
      <c r="L201">
        <v>0</v>
      </c>
      <c r="M201" s="1" t="s">
        <v>14</v>
      </c>
      <c r="N201">
        <v>0</v>
      </c>
      <c r="O201" s="1" t="s">
        <v>14</v>
      </c>
      <c r="P201">
        <v>1394.8370000000002</v>
      </c>
      <c r="Q201" s="1" t="s">
        <v>14</v>
      </c>
      <c r="R201">
        <v>635.16299999999978</v>
      </c>
      <c r="S201" s="1" t="s">
        <v>14</v>
      </c>
      <c r="T201">
        <v>127.03259999999995</v>
      </c>
      <c r="U201" s="1" t="s">
        <v>14</v>
      </c>
      <c r="V201">
        <v>45.536718627337798</v>
      </c>
      <c r="W201" s="1" t="s">
        <v>14</v>
      </c>
      <c r="X201">
        <v>2789.6740000000004</v>
      </c>
      <c r="Y201" s="1" t="s">
        <v>12</v>
      </c>
      <c r="Z201" s="1" t="str">
        <f t="shared" si="3"/>
        <v>&lt;tr&gt; &lt;td&gt;7705340&lt;/td&gt;&lt;td&gt;SERVOGREASE MP 3-2 X 5 KG&lt;/td&gt;&lt;td&gt;2030&lt;/td&gt;&lt;td&gt;1660.337&lt;/td&gt;&lt;td&gt;45&lt;/td&gt;&lt;td&gt;0&lt;/td&gt;&lt;td&gt;0&lt;/td&gt;&lt;td&gt;1394.837&lt;/td&gt;&lt;td&gt;635.163&lt;/td&gt;&lt;td&gt;127.0326&lt;/td&gt;&lt;td&gt;45.5367186273378&lt;/td&gt;&lt;td&gt;2789.674&lt;/td&gt;&lt;/tr&gt;</v>
      </c>
    </row>
    <row r="202" spans="1:26" x14ac:dyDescent="0.3">
      <c r="A202" s="1" t="s">
        <v>13</v>
      </c>
      <c r="B202">
        <v>7705341</v>
      </c>
      <c r="C202" s="1" t="s">
        <v>14</v>
      </c>
      <c r="D202" t="s">
        <v>299</v>
      </c>
      <c r="E202" s="1" t="s">
        <v>14</v>
      </c>
      <c r="F202">
        <v>8000</v>
      </c>
      <c r="G202" s="1" t="s">
        <v>14</v>
      </c>
      <c r="H202">
        <v>6544.8</v>
      </c>
      <c r="I202" s="1" t="s">
        <v>14</v>
      </c>
      <c r="J202">
        <v>60</v>
      </c>
      <c r="K202" s="1" t="s">
        <v>14</v>
      </c>
      <c r="L202">
        <v>0</v>
      </c>
      <c r="M202" s="1" t="s">
        <v>14</v>
      </c>
      <c r="N202">
        <v>0</v>
      </c>
      <c r="O202" s="1" t="s">
        <v>14</v>
      </c>
      <c r="P202">
        <v>5128.8</v>
      </c>
      <c r="Q202" s="1" t="s">
        <v>14</v>
      </c>
      <c r="R202">
        <v>2871.2</v>
      </c>
      <c r="S202" s="1" t="s">
        <v>14</v>
      </c>
      <c r="T202">
        <v>143.56</v>
      </c>
      <c r="U202" s="1" t="s">
        <v>14</v>
      </c>
      <c r="V202">
        <v>55.981906098892523</v>
      </c>
      <c r="W202" s="1" t="s">
        <v>14</v>
      </c>
      <c r="X202">
        <v>5128.8000000000029</v>
      </c>
      <c r="Y202" s="1" t="s">
        <v>12</v>
      </c>
      <c r="Z202" s="1" t="str">
        <f t="shared" si="3"/>
        <v>&lt;tr&gt; &lt;td&gt;7705341&lt;/td&gt;&lt;td&gt;SERVOGREASE MP 3 -20 KG BUC&lt;/td&gt;&lt;td&gt;8000&lt;/td&gt;&lt;td&gt;6544.8&lt;/td&gt;&lt;td&gt;60&lt;/td&gt;&lt;td&gt;0&lt;/td&gt;&lt;td&gt;0&lt;/td&gt;&lt;td&gt;5128.8&lt;/td&gt;&lt;td&gt;2871.2&lt;/td&gt;&lt;td&gt;143.56&lt;/td&gt;&lt;td&gt;55.9819060988925&lt;/td&gt;&lt;td&gt;5128.8&lt;/td&gt;&lt;/tr&gt;</v>
      </c>
    </row>
    <row r="203" spans="1:26" x14ac:dyDescent="0.3">
      <c r="A203" s="1" t="s">
        <v>13</v>
      </c>
      <c r="B203">
        <v>7727303</v>
      </c>
      <c r="C203" s="1" t="s">
        <v>14</v>
      </c>
      <c r="D203" t="s">
        <v>300</v>
      </c>
      <c r="E203" s="1" t="s">
        <v>14</v>
      </c>
      <c r="F203">
        <v>253</v>
      </c>
      <c r="G203" s="1" t="s">
        <v>14</v>
      </c>
      <c r="H203">
        <v>194.73410000000001</v>
      </c>
      <c r="I203" s="1" t="s">
        <v>14</v>
      </c>
      <c r="J203">
        <v>55</v>
      </c>
      <c r="K203" s="1" t="s">
        <v>14</v>
      </c>
      <c r="L203">
        <v>0</v>
      </c>
      <c r="M203" s="1" t="s">
        <v>14</v>
      </c>
      <c r="N203">
        <v>0</v>
      </c>
      <c r="O203" s="1" t="s">
        <v>14</v>
      </c>
      <c r="P203">
        <v>162.28410000000002</v>
      </c>
      <c r="Q203" s="1" t="s">
        <v>14</v>
      </c>
      <c r="R203">
        <v>90.715899999999976</v>
      </c>
      <c r="S203" s="1" t="s">
        <v>14</v>
      </c>
      <c r="T203">
        <v>181.43179999999995</v>
      </c>
      <c r="U203" s="1" t="s">
        <v>14</v>
      </c>
      <c r="V203">
        <v>55.899438084199225</v>
      </c>
      <c r="W203" s="1" t="s">
        <v>14</v>
      </c>
      <c r="X203">
        <v>3245.6819999999998</v>
      </c>
      <c r="Y203" s="1" t="s">
        <v>12</v>
      </c>
      <c r="Z203" s="1" t="str">
        <f t="shared" si="3"/>
        <v>&lt;tr&gt; &lt;td&gt;7727303&lt;/td&gt;&lt;td&gt;SERVO GEM RR 3 - 20 X 1/2 KG CTN&lt;/td&gt;&lt;td&gt;253&lt;/td&gt;&lt;td&gt;194.7341&lt;/td&gt;&lt;td&gt;55&lt;/td&gt;&lt;td&gt;0&lt;/td&gt;&lt;td&gt;0&lt;/td&gt;&lt;td&gt;162.2841&lt;/td&gt;&lt;td&gt;90.7159&lt;/td&gt;&lt;td&gt;181.4318&lt;/td&gt;&lt;td&gt;55.8994380841992&lt;/td&gt;&lt;td&gt;3245.682&lt;/td&gt;&lt;/tr&gt;</v>
      </c>
    </row>
    <row r="204" spans="1:26" x14ac:dyDescent="0.3">
      <c r="A204" s="1" t="s">
        <v>13</v>
      </c>
      <c r="B204">
        <v>7727313</v>
      </c>
      <c r="C204" s="1" t="s">
        <v>14</v>
      </c>
      <c r="D204" t="s">
        <v>301</v>
      </c>
      <c r="E204" s="1" t="s">
        <v>14</v>
      </c>
      <c r="F204">
        <v>465</v>
      </c>
      <c r="G204" s="1" t="s">
        <v>14</v>
      </c>
      <c r="H204">
        <v>371.90700000000004</v>
      </c>
      <c r="I204" s="1" t="s">
        <v>14</v>
      </c>
      <c r="J204">
        <v>55</v>
      </c>
      <c r="K204" s="1" t="s">
        <v>14</v>
      </c>
      <c r="L204">
        <v>0</v>
      </c>
      <c r="M204" s="1" t="s">
        <v>14</v>
      </c>
      <c r="N204">
        <v>0</v>
      </c>
      <c r="O204" s="1" t="s">
        <v>14</v>
      </c>
      <c r="P204">
        <v>307.00700000000001</v>
      </c>
      <c r="Q204" s="1" t="s">
        <v>14</v>
      </c>
      <c r="R204">
        <v>157.99299999999999</v>
      </c>
      <c r="S204" s="1" t="s">
        <v>14</v>
      </c>
      <c r="T204">
        <v>157.99299999999999</v>
      </c>
      <c r="U204" s="1" t="s">
        <v>14</v>
      </c>
      <c r="V204">
        <v>51.462344506802772</v>
      </c>
      <c r="W204" s="1" t="s">
        <v>14</v>
      </c>
      <c r="X204">
        <v>3070.07</v>
      </c>
      <c r="Y204" s="1" t="s">
        <v>12</v>
      </c>
      <c r="Z204" s="1" t="str">
        <f t="shared" si="3"/>
        <v>&lt;tr&gt; &lt;td&gt;7727313&lt;/td&gt;&lt;td&gt;SERVO GEM RR 3 - 10 X 1 KG CTN&lt;/td&gt;&lt;td&gt;465&lt;/td&gt;&lt;td&gt;371.907&lt;/td&gt;&lt;td&gt;55&lt;/td&gt;&lt;td&gt;0&lt;/td&gt;&lt;td&gt;0&lt;/td&gt;&lt;td&gt;307.007&lt;/td&gt;&lt;td&gt;157.993&lt;/td&gt;&lt;td&gt;157.993&lt;/td&gt;&lt;td&gt;51.4623445068028&lt;/td&gt;&lt;td&gt;3070.07&lt;/td&gt;&lt;/tr&gt;</v>
      </c>
    </row>
    <row r="205" spans="1:26" x14ac:dyDescent="0.3">
      <c r="A205" s="1" t="s">
        <v>13</v>
      </c>
      <c r="B205">
        <v>7727327</v>
      </c>
      <c r="C205" s="1" t="s">
        <v>14</v>
      </c>
      <c r="D205" t="s">
        <v>302</v>
      </c>
      <c r="E205" s="1" t="s">
        <v>14</v>
      </c>
      <c r="F205">
        <v>920</v>
      </c>
      <c r="G205" s="1" t="s">
        <v>14</v>
      </c>
      <c r="H205">
        <v>727.62800000000004</v>
      </c>
      <c r="I205" s="1" t="s">
        <v>14</v>
      </c>
      <c r="J205">
        <v>55</v>
      </c>
      <c r="K205" s="1" t="s">
        <v>14</v>
      </c>
      <c r="L205">
        <v>0</v>
      </c>
      <c r="M205" s="1" t="s">
        <v>14</v>
      </c>
      <c r="N205">
        <v>0</v>
      </c>
      <c r="O205" s="1" t="s">
        <v>14</v>
      </c>
      <c r="P205">
        <v>597.82800000000009</v>
      </c>
      <c r="Q205" s="1" t="s">
        <v>14</v>
      </c>
      <c r="R205">
        <v>322.17199999999991</v>
      </c>
      <c r="S205" s="1" t="s">
        <v>14</v>
      </c>
      <c r="T205">
        <v>161.08599999999996</v>
      </c>
      <c r="U205" s="1" t="s">
        <v>14</v>
      </c>
      <c r="V205">
        <v>53.890416641575811</v>
      </c>
      <c r="W205" s="1" t="s">
        <v>14</v>
      </c>
      <c r="X205">
        <v>3586.9680000000017</v>
      </c>
      <c r="Y205" s="1" t="s">
        <v>12</v>
      </c>
      <c r="Z205" s="1" t="str">
        <f t="shared" si="3"/>
        <v>&lt;tr&gt; &lt;td&gt;7727327&lt;/td&gt;&lt;td&gt;SERVO GEM RR 3-6X2 KG TUB&lt;/td&gt;&lt;td&gt;920&lt;/td&gt;&lt;td&gt;727.628&lt;/td&gt;&lt;td&gt;55&lt;/td&gt;&lt;td&gt;0&lt;/td&gt;&lt;td&gt;0&lt;/td&gt;&lt;td&gt;597.828&lt;/td&gt;&lt;td&gt;322.172&lt;/td&gt;&lt;td&gt;161.086&lt;/td&gt;&lt;td&gt;53.8904166415758&lt;/td&gt;&lt;td&gt;3586.968&lt;/td&gt;&lt;/tr&gt;</v>
      </c>
    </row>
    <row r="206" spans="1:26" x14ac:dyDescent="0.3">
      <c r="A206" s="1" t="s">
        <v>13</v>
      </c>
      <c r="B206">
        <v>7727337</v>
      </c>
      <c r="C206" s="1" t="s">
        <v>14</v>
      </c>
      <c r="D206" t="s">
        <v>303</v>
      </c>
      <c r="E206" s="1" t="s">
        <v>14</v>
      </c>
      <c r="F206">
        <v>1365</v>
      </c>
      <c r="G206" s="1" t="s">
        <v>14</v>
      </c>
      <c r="H206">
        <v>1063.7445</v>
      </c>
      <c r="I206" s="1" t="s">
        <v>14</v>
      </c>
      <c r="J206">
        <v>55</v>
      </c>
      <c r="K206" s="1" t="s">
        <v>14</v>
      </c>
      <c r="L206">
        <v>0</v>
      </c>
      <c r="M206" s="1" t="s">
        <v>14</v>
      </c>
      <c r="N206">
        <v>0</v>
      </c>
      <c r="O206" s="1" t="s">
        <v>14</v>
      </c>
      <c r="P206">
        <v>869.04449999999997</v>
      </c>
      <c r="Q206" s="1" t="s">
        <v>14</v>
      </c>
      <c r="R206">
        <v>495.95550000000003</v>
      </c>
      <c r="S206" s="1" t="s">
        <v>14</v>
      </c>
      <c r="T206">
        <v>165.31850000000003</v>
      </c>
      <c r="U206" s="1" t="s">
        <v>14</v>
      </c>
      <c r="V206">
        <v>57.06905687798497</v>
      </c>
      <c r="W206" s="1" t="s">
        <v>14</v>
      </c>
      <c r="X206">
        <v>3476.1779999999994</v>
      </c>
      <c r="Y206" s="1" t="s">
        <v>12</v>
      </c>
      <c r="Z206" s="1" t="str">
        <f t="shared" si="3"/>
        <v>&lt;tr&gt; &lt;td&gt;7727337&lt;/td&gt;&lt;td&gt;SERVO GEM RR 3-4X3 KG&lt;/td&gt;&lt;td&gt;1365&lt;/td&gt;&lt;td&gt;1063.7445&lt;/td&gt;&lt;td&gt;55&lt;/td&gt;&lt;td&gt;0&lt;/td&gt;&lt;td&gt;0&lt;/td&gt;&lt;td&gt;869.0445&lt;/td&gt;&lt;td&gt;495.9555&lt;/td&gt;&lt;td&gt;165.3185&lt;/td&gt;&lt;td&gt;57.069056877985&lt;/td&gt;&lt;td&gt;3476.178&lt;/td&gt;&lt;/tr&gt;</v>
      </c>
    </row>
    <row r="207" spans="1:26" x14ac:dyDescent="0.3">
      <c r="A207" s="1" t="s">
        <v>13</v>
      </c>
      <c r="B207">
        <v>7727341</v>
      </c>
      <c r="C207" s="1" t="s">
        <v>14</v>
      </c>
      <c r="D207" t="s">
        <v>304</v>
      </c>
      <c r="E207" s="1" t="s">
        <v>14</v>
      </c>
      <c r="F207">
        <v>8300</v>
      </c>
      <c r="G207" s="1" t="s">
        <v>14</v>
      </c>
      <c r="H207">
        <v>6969.51</v>
      </c>
      <c r="I207" s="1" t="s">
        <v>14</v>
      </c>
      <c r="J207">
        <v>60</v>
      </c>
      <c r="K207" s="1" t="s">
        <v>14</v>
      </c>
      <c r="L207">
        <v>0</v>
      </c>
      <c r="M207" s="1" t="s">
        <v>14</v>
      </c>
      <c r="N207">
        <v>0</v>
      </c>
      <c r="O207" s="1" t="s">
        <v>14</v>
      </c>
      <c r="P207">
        <v>5553.51</v>
      </c>
      <c r="Q207" s="1" t="s">
        <v>14</v>
      </c>
      <c r="R207">
        <v>2746.49</v>
      </c>
      <c r="S207" s="1" t="s">
        <v>14</v>
      </c>
      <c r="T207">
        <v>137.3245</v>
      </c>
      <c r="U207" s="1" t="s">
        <v>14</v>
      </c>
      <c r="V207">
        <v>49.455029341803645</v>
      </c>
      <c r="W207" s="1" t="s">
        <v>14</v>
      </c>
      <c r="X207">
        <v>5553.5100000000029</v>
      </c>
      <c r="Y207" s="1" t="s">
        <v>12</v>
      </c>
      <c r="Z207" s="1" t="str">
        <f t="shared" si="3"/>
        <v>&lt;tr&gt; &lt;td&gt;7727341&lt;/td&gt;&lt;td&gt;SERVO GEM RR 3 - 20 KG. BUC&lt;/td&gt;&lt;td&gt;8300&lt;/td&gt;&lt;td&gt;6969.51&lt;/td&gt;&lt;td&gt;60&lt;/td&gt;&lt;td&gt;0&lt;/td&gt;&lt;td&gt;0&lt;/td&gt;&lt;td&gt;5553.51&lt;/td&gt;&lt;td&gt;2746.49&lt;/td&gt;&lt;td&gt;137.3245&lt;/td&gt;&lt;td&gt;49.4550293418036&lt;/td&gt;&lt;td&gt;5553.51&lt;/td&gt;&lt;/tr&gt;</v>
      </c>
    </row>
    <row r="208" spans="1:26" x14ac:dyDescent="0.3">
      <c r="A208" s="1" t="s">
        <v>13</v>
      </c>
      <c r="B208">
        <v>7849303</v>
      </c>
      <c r="C208" s="1" t="s">
        <v>14</v>
      </c>
      <c r="D208" t="s">
        <v>305</v>
      </c>
      <c r="E208" s="1" t="s">
        <v>14</v>
      </c>
      <c r="F208">
        <v>280</v>
      </c>
      <c r="G208" s="1" t="s">
        <v>14</v>
      </c>
      <c r="H208">
        <v>192.83600000000001</v>
      </c>
      <c r="I208" s="1" t="s">
        <v>14</v>
      </c>
      <c r="J208">
        <v>50</v>
      </c>
      <c r="K208" s="1" t="s">
        <v>14</v>
      </c>
      <c r="L208">
        <v>0</v>
      </c>
      <c r="M208" s="1" t="s">
        <v>14</v>
      </c>
      <c r="N208">
        <v>0</v>
      </c>
      <c r="O208" s="1" t="s">
        <v>14</v>
      </c>
      <c r="P208">
        <v>163.33600000000001</v>
      </c>
      <c r="Q208" s="1" t="s">
        <v>14</v>
      </c>
      <c r="R208">
        <v>116.66399999999999</v>
      </c>
      <c r="S208" s="1" t="s">
        <v>14</v>
      </c>
      <c r="T208">
        <v>233.32799999999997</v>
      </c>
      <c r="U208" s="1" t="s">
        <v>14</v>
      </c>
      <c r="V208">
        <v>71.425772640446667</v>
      </c>
      <c r="W208" s="1" t="s">
        <v>14</v>
      </c>
      <c r="X208">
        <v>3266.72</v>
      </c>
      <c r="Y208" s="1" t="s">
        <v>12</v>
      </c>
      <c r="Z208" s="1" t="str">
        <f t="shared" si="3"/>
        <v>&lt;tr&gt; &lt;td&gt;7849303&lt;/td&gt;&lt;td&gt;SERVO LONG LIFE GREASE-20 X 1/2 KG&lt;/td&gt;&lt;td&gt;280&lt;/td&gt;&lt;td&gt;192.836&lt;/td&gt;&lt;td&gt;50&lt;/td&gt;&lt;td&gt;0&lt;/td&gt;&lt;td&gt;0&lt;/td&gt;&lt;td&gt;163.336&lt;/td&gt;&lt;td&gt;116.664&lt;/td&gt;&lt;td&gt;233.328&lt;/td&gt;&lt;td&gt;71.4257726404467&lt;/td&gt;&lt;td&gt;3266.72&lt;/td&gt;&lt;/tr&gt;</v>
      </c>
    </row>
    <row r="209" spans="1:26" x14ac:dyDescent="0.3">
      <c r="A209" s="1" t="s">
        <v>13</v>
      </c>
      <c r="B209">
        <v>7849313</v>
      </c>
      <c r="C209" s="1" t="s">
        <v>14</v>
      </c>
      <c r="D209" t="s">
        <v>306</v>
      </c>
      <c r="E209" s="1" t="s">
        <v>14</v>
      </c>
      <c r="F209">
        <v>520</v>
      </c>
      <c r="G209" s="1" t="s">
        <v>14</v>
      </c>
      <c r="H209">
        <v>379.49599999999998</v>
      </c>
      <c r="I209" s="1" t="s">
        <v>14</v>
      </c>
      <c r="J209">
        <v>0</v>
      </c>
      <c r="K209" s="1" t="s">
        <v>14</v>
      </c>
      <c r="L209">
        <v>0</v>
      </c>
      <c r="M209" s="1" t="s">
        <v>14</v>
      </c>
      <c r="N209">
        <v>0</v>
      </c>
      <c r="O209" s="1" t="s">
        <v>14</v>
      </c>
      <c r="P209">
        <v>379.49599999999998</v>
      </c>
      <c r="Q209" s="1" t="s">
        <v>14</v>
      </c>
      <c r="R209">
        <v>140.50400000000002</v>
      </c>
      <c r="S209" s="1" t="s">
        <v>14</v>
      </c>
      <c r="T209">
        <v>140.50400000000002</v>
      </c>
      <c r="U209" s="1" t="s">
        <v>14</v>
      </c>
      <c r="V209">
        <v>37.023842148533852</v>
      </c>
      <c r="W209" s="1" t="s">
        <v>14</v>
      </c>
      <c r="X209">
        <v>3794.96</v>
      </c>
      <c r="Y209" s="1" t="s">
        <v>12</v>
      </c>
      <c r="Z209" s="1" t="str">
        <f t="shared" si="3"/>
        <v>&lt;tr&gt; &lt;td&gt;7849313&lt;/td&gt;&lt;td&gt;SERVO LONG LIFE GREASE-10X1 KG TUB&lt;/td&gt;&lt;td&gt;520&lt;/td&gt;&lt;td&gt;379.496&lt;/td&gt;&lt;td&gt;0&lt;/td&gt;&lt;td&gt;0&lt;/td&gt;&lt;td&gt;0&lt;/td&gt;&lt;td&gt;379.496&lt;/td&gt;&lt;td&gt;140.504&lt;/td&gt;&lt;td&gt;140.504&lt;/td&gt;&lt;td&gt;37.0238421485339&lt;/td&gt;&lt;td&gt;3794.96&lt;/td&gt;&lt;/tr&gt;</v>
      </c>
    </row>
    <row r="210" spans="1:26" x14ac:dyDescent="0.3">
      <c r="A210" s="1" t="s">
        <v>13</v>
      </c>
      <c r="B210">
        <v>7849327</v>
      </c>
      <c r="C210" s="1" t="s">
        <v>14</v>
      </c>
      <c r="D210" t="s">
        <v>307</v>
      </c>
      <c r="E210" s="1" t="s">
        <v>14</v>
      </c>
      <c r="F210">
        <v>1060</v>
      </c>
      <c r="G210" s="1" t="s">
        <v>14</v>
      </c>
      <c r="H210">
        <v>744.12</v>
      </c>
      <c r="I210" s="1" t="s">
        <v>14</v>
      </c>
      <c r="J210">
        <v>50</v>
      </c>
      <c r="K210" s="1" t="s">
        <v>14</v>
      </c>
      <c r="L210">
        <v>0</v>
      </c>
      <c r="M210" s="1" t="s">
        <v>14</v>
      </c>
      <c r="N210">
        <v>0</v>
      </c>
      <c r="O210" s="1" t="s">
        <v>14</v>
      </c>
      <c r="P210">
        <v>626.12</v>
      </c>
      <c r="Q210" s="1" t="s">
        <v>14</v>
      </c>
      <c r="R210">
        <v>433.88</v>
      </c>
      <c r="S210" s="1" t="s">
        <v>14</v>
      </c>
      <c r="T210">
        <v>216.94</v>
      </c>
      <c r="U210" s="1" t="s">
        <v>14</v>
      </c>
      <c r="V210">
        <v>69.296620456142591</v>
      </c>
      <c r="W210" s="1" t="s">
        <v>14</v>
      </c>
      <c r="X210">
        <v>3756.7200000000012</v>
      </c>
      <c r="Y210" s="1" t="s">
        <v>12</v>
      </c>
      <c r="Z210" s="1" t="str">
        <f t="shared" si="3"/>
        <v>&lt;tr&gt; &lt;td&gt;7849327&lt;/td&gt;&lt;td&gt;SERVO LONG LIFE GREASE-6X2 KG TUB&lt;/td&gt;&lt;td&gt;1060&lt;/td&gt;&lt;td&gt;744.12&lt;/td&gt;&lt;td&gt;50&lt;/td&gt;&lt;td&gt;0&lt;/td&gt;&lt;td&gt;0&lt;/td&gt;&lt;td&gt;626.12&lt;/td&gt;&lt;td&gt;433.88&lt;/td&gt;&lt;td&gt;216.94&lt;/td&gt;&lt;td&gt;69.2966204561426&lt;/td&gt;&lt;td&gt;3756.72&lt;/td&gt;&lt;/tr&gt;</v>
      </c>
    </row>
    <row r="211" spans="1:26" x14ac:dyDescent="0.3">
      <c r="A211" s="1" t="s">
        <v>13</v>
      </c>
      <c r="B211">
        <v>7849337</v>
      </c>
      <c r="C211" s="1" t="s">
        <v>14</v>
      </c>
      <c r="D211" t="s">
        <v>308</v>
      </c>
      <c r="E211" s="1" t="s">
        <v>14</v>
      </c>
      <c r="F211">
        <v>1565</v>
      </c>
      <c r="G211" s="1" t="s">
        <v>14</v>
      </c>
      <c r="H211">
        <v>1106.9245000000001</v>
      </c>
      <c r="I211" s="1" t="s">
        <v>14</v>
      </c>
      <c r="J211">
        <v>50</v>
      </c>
      <c r="K211" s="1" t="s">
        <v>14</v>
      </c>
      <c r="L211">
        <v>0</v>
      </c>
      <c r="M211" s="1" t="s">
        <v>14</v>
      </c>
      <c r="N211">
        <v>0</v>
      </c>
      <c r="O211" s="1" t="s">
        <v>14</v>
      </c>
      <c r="P211">
        <v>929.92450000000019</v>
      </c>
      <c r="Q211" s="1" t="s">
        <v>14</v>
      </c>
      <c r="R211">
        <v>635.07549999999981</v>
      </c>
      <c r="S211" s="1" t="s">
        <v>14</v>
      </c>
      <c r="T211">
        <v>211.69183333333325</v>
      </c>
      <c r="U211" s="1" t="s">
        <v>14</v>
      </c>
      <c r="V211">
        <v>68.293232407577136</v>
      </c>
      <c r="W211" s="1" t="s">
        <v>14</v>
      </c>
      <c r="X211">
        <v>3719.6980000000003</v>
      </c>
      <c r="Y211" s="1" t="s">
        <v>12</v>
      </c>
      <c r="Z211" s="1" t="str">
        <f t="shared" si="3"/>
        <v>&lt;tr&gt; &lt;td&gt;7849337&lt;/td&gt;&lt;td&gt;SERVO LONG LIFE GREASE-4X3 KG TUB&lt;/td&gt;&lt;td&gt;1565&lt;/td&gt;&lt;td&gt;1106.9245&lt;/td&gt;&lt;td&gt;50&lt;/td&gt;&lt;td&gt;0&lt;/td&gt;&lt;td&gt;0&lt;/td&gt;&lt;td&gt;929.9245&lt;/td&gt;&lt;td&gt;635.0755&lt;/td&gt;&lt;td&gt;211.691833333333&lt;/td&gt;&lt;td&gt;68.2932324075771&lt;/td&gt;&lt;td&gt;3719.698&lt;/td&gt;&lt;/tr&gt;</v>
      </c>
    </row>
    <row r="212" spans="1:26" x14ac:dyDescent="0.3">
      <c r="A212" s="1" t="s">
        <v>13</v>
      </c>
      <c r="B212">
        <v>7849340</v>
      </c>
      <c r="C212" s="1" t="s">
        <v>14</v>
      </c>
      <c r="D212" t="s">
        <v>309</v>
      </c>
      <c r="E212" s="1" t="s">
        <v>14</v>
      </c>
      <c r="F212">
        <v>2575</v>
      </c>
      <c r="G212" s="1" t="s">
        <v>14</v>
      </c>
      <c r="H212">
        <v>1823.3575000000001</v>
      </c>
      <c r="I212" s="1" t="s">
        <v>14</v>
      </c>
      <c r="J212">
        <v>50</v>
      </c>
      <c r="K212" s="1" t="s">
        <v>14</v>
      </c>
      <c r="L212">
        <v>0</v>
      </c>
      <c r="M212" s="1" t="s">
        <v>14</v>
      </c>
      <c r="N212">
        <v>0</v>
      </c>
      <c r="O212" s="1" t="s">
        <v>14</v>
      </c>
      <c r="P212">
        <v>1528.3575000000001</v>
      </c>
      <c r="Q212" s="1" t="s">
        <v>14</v>
      </c>
      <c r="R212">
        <v>1046.6424999999999</v>
      </c>
      <c r="S212" s="1" t="s">
        <v>14</v>
      </c>
      <c r="T212">
        <v>209.32849999999996</v>
      </c>
      <c r="U212" s="1" t="s">
        <v>14</v>
      </c>
      <c r="V212">
        <v>68.481523465550424</v>
      </c>
      <c r="W212" s="1" t="s">
        <v>14</v>
      </c>
      <c r="X212">
        <v>3056.7150000000001</v>
      </c>
      <c r="Y212" s="1" t="s">
        <v>12</v>
      </c>
      <c r="Z212" s="1" t="str">
        <f t="shared" si="3"/>
        <v>&lt;tr&gt; &lt;td&gt;7849340&lt;/td&gt;&lt;td&gt;SERVO LONG LIFE GREASE-2 X 5 KG&lt;/td&gt;&lt;td&gt;2575&lt;/td&gt;&lt;td&gt;1823.3575&lt;/td&gt;&lt;td&gt;50&lt;/td&gt;&lt;td&gt;0&lt;/td&gt;&lt;td&gt;0&lt;/td&gt;&lt;td&gt;1528.3575&lt;/td&gt;&lt;td&gt;1046.6425&lt;/td&gt;&lt;td&gt;209.3285&lt;/td&gt;&lt;td&gt;68.4815234655504&lt;/td&gt;&lt;td&gt;3056.715&lt;/td&gt;&lt;/tr&gt;</v>
      </c>
    </row>
    <row r="213" spans="1:26" x14ac:dyDescent="0.3">
      <c r="A213" s="1" t="s">
        <v>13</v>
      </c>
      <c r="B213">
        <v>7849341</v>
      </c>
      <c r="C213" s="1" t="s">
        <v>14</v>
      </c>
      <c r="D213" t="s">
        <v>310</v>
      </c>
      <c r="E213" s="1" t="s">
        <v>14</v>
      </c>
      <c r="F213">
        <v>9900</v>
      </c>
      <c r="G213" s="1" t="s">
        <v>14</v>
      </c>
      <c r="H213">
        <v>7079.49</v>
      </c>
      <c r="I213" s="1" t="s">
        <v>14</v>
      </c>
      <c r="J213">
        <v>50</v>
      </c>
      <c r="K213" s="1" t="s">
        <v>14</v>
      </c>
      <c r="L213">
        <v>0</v>
      </c>
      <c r="M213" s="1" t="s">
        <v>14</v>
      </c>
      <c r="N213">
        <v>0</v>
      </c>
      <c r="O213" s="1" t="s">
        <v>14</v>
      </c>
      <c r="P213">
        <v>5899.49</v>
      </c>
      <c r="Q213" s="1" t="s">
        <v>14</v>
      </c>
      <c r="R213">
        <v>4000.51</v>
      </c>
      <c r="S213" s="1" t="s">
        <v>14</v>
      </c>
      <c r="T213">
        <v>200.02550000000002</v>
      </c>
      <c r="U213" s="1" t="s">
        <v>14</v>
      </c>
      <c r="V213">
        <v>67.811115876118109</v>
      </c>
      <c r="W213" s="1" t="s">
        <v>14</v>
      </c>
      <c r="X213">
        <v>5899.4900000000025</v>
      </c>
      <c r="Y213" s="1" t="s">
        <v>12</v>
      </c>
      <c r="Z213" s="1" t="str">
        <f t="shared" si="3"/>
        <v>&lt;tr&gt; &lt;td&gt;7849341&lt;/td&gt;&lt;td&gt;SERVO LONG LIFE GREASE-20 KG&lt;/td&gt;&lt;td&gt;9900&lt;/td&gt;&lt;td&gt;7079.49&lt;/td&gt;&lt;td&gt;50&lt;/td&gt;&lt;td&gt;0&lt;/td&gt;&lt;td&gt;0&lt;/td&gt;&lt;td&gt;5899.49&lt;/td&gt;&lt;td&gt;4000.51&lt;/td&gt;&lt;td&gt;200.0255&lt;/td&gt;&lt;td&gt;67.8111158761181&lt;/td&gt;&lt;td&gt;5899.49&lt;/td&gt;&lt;/tr&gt;</v>
      </c>
    </row>
    <row r="214" spans="1:26" x14ac:dyDescent="0.3">
      <c r="A214" s="1" t="s">
        <v>13</v>
      </c>
      <c r="B214">
        <v>7849343</v>
      </c>
      <c r="C214" s="1" t="s">
        <v>14</v>
      </c>
      <c r="D214" t="s">
        <v>311</v>
      </c>
      <c r="E214" s="1" t="s">
        <v>14</v>
      </c>
      <c r="F214">
        <v>3550</v>
      </c>
      <c r="G214" s="1" t="s">
        <v>14</v>
      </c>
      <c r="H214">
        <v>2523.34</v>
      </c>
      <c r="I214" s="1" t="s">
        <v>14</v>
      </c>
      <c r="J214">
        <v>50</v>
      </c>
      <c r="K214" s="1" t="s">
        <v>14</v>
      </c>
      <c r="L214">
        <v>0</v>
      </c>
      <c r="M214" s="1" t="s">
        <v>14</v>
      </c>
      <c r="N214">
        <v>0</v>
      </c>
      <c r="O214" s="1" t="s">
        <v>14</v>
      </c>
      <c r="P214">
        <v>2110.34</v>
      </c>
      <c r="Q214" s="1" t="s">
        <v>14</v>
      </c>
      <c r="R214">
        <v>1439.6599999999999</v>
      </c>
      <c r="S214" s="1" t="s">
        <v>14</v>
      </c>
      <c r="T214">
        <v>205.66571428571427</v>
      </c>
      <c r="U214" s="1" t="s">
        <v>14</v>
      </c>
      <c r="V214">
        <v>68.219339063847514</v>
      </c>
      <c r="W214" s="1" t="s">
        <v>14</v>
      </c>
      <c r="X214">
        <v>2110.34</v>
      </c>
      <c r="Y214" s="1" t="s">
        <v>12</v>
      </c>
      <c r="Z214" s="1" t="str">
        <f t="shared" si="3"/>
        <v>&lt;tr&gt; &lt;td&gt;7849343&lt;/td&gt;&lt;td&gt;SERVO LONG LIFE GREASE-7 KG&lt;/td&gt;&lt;td&gt;3550&lt;/td&gt;&lt;td&gt;2523.34&lt;/td&gt;&lt;td&gt;50&lt;/td&gt;&lt;td&gt;0&lt;/td&gt;&lt;td&gt;0&lt;/td&gt;&lt;td&gt;2110.34&lt;/td&gt;&lt;td&gt;1439.66&lt;/td&gt;&lt;td&gt;205.665714285714&lt;/td&gt;&lt;td&gt;68.2193390638475&lt;/td&gt;&lt;td&gt;2110.34&lt;/td&gt;&lt;/tr&gt;</v>
      </c>
    </row>
    <row r="215" spans="1:26" x14ac:dyDescent="0.3">
      <c r="A215" s="1" t="s">
        <v>13</v>
      </c>
      <c r="B215">
        <v>7849344</v>
      </c>
      <c r="C215" s="1" t="s">
        <v>14</v>
      </c>
      <c r="D215" t="s">
        <v>312</v>
      </c>
      <c r="E215" s="1" t="s">
        <v>14</v>
      </c>
      <c r="F215">
        <v>5000</v>
      </c>
      <c r="G215" s="1" t="s">
        <v>14</v>
      </c>
      <c r="H215">
        <v>3576.5</v>
      </c>
      <c r="I215" s="1" t="s">
        <v>14</v>
      </c>
      <c r="J215">
        <v>50</v>
      </c>
      <c r="K215" s="1" t="s">
        <v>14</v>
      </c>
      <c r="L215">
        <v>0</v>
      </c>
      <c r="M215" s="1" t="s">
        <v>14</v>
      </c>
      <c r="N215">
        <v>0</v>
      </c>
      <c r="O215" s="1" t="s">
        <v>14</v>
      </c>
      <c r="P215">
        <v>2986.5</v>
      </c>
      <c r="Q215" s="1" t="s">
        <v>14</v>
      </c>
      <c r="R215">
        <v>2013.5</v>
      </c>
      <c r="S215" s="1" t="s">
        <v>14</v>
      </c>
      <c r="T215">
        <v>201.35000000000002</v>
      </c>
      <c r="U215" s="1" t="s">
        <v>14</v>
      </c>
      <c r="V215">
        <v>67.420056922819356</v>
      </c>
      <c r="W215" s="1" t="s">
        <v>14</v>
      </c>
      <c r="X215">
        <v>2986.5</v>
      </c>
      <c r="Y215" s="1" t="s">
        <v>12</v>
      </c>
      <c r="Z215" s="1" t="str">
        <f t="shared" si="3"/>
        <v>&lt;tr&gt; &lt;td&gt;7849344&lt;/td&gt;&lt;td&gt;SERVO LONG LIFE GREASE-10 KG BUC&lt;/td&gt;&lt;td&gt;5000&lt;/td&gt;&lt;td&gt;3576.5&lt;/td&gt;&lt;td&gt;50&lt;/td&gt;&lt;td&gt;0&lt;/td&gt;&lt;td&gt;0&lt;/td&gt;&lt;td&gt;2986.5&lt;/td&gt;&lt;td&gt;2013.5&lt;/td&gt;&lt;td&gt;201.35&lt;/td&gt;&lt;td&gt;67.4200569228194&lt;/td&gt;&lt;td&gt;2986.5&lt;/td&gt;&lt;/tr&gt;</v>
      </c>
    </row>
    <row r="216" spans="1:26" x14ac:dyDescent="0.3">
      <c r="A216" s="1" t="s">
        <v>13</v>
      </c>
      <c r="B216">
        <v>7903303</v>
      </c>
      <c r="C216" s="1" t="s">
        <v>14</v>
      </c>
      <c r="D216" t="s">
        <v>313</v>
      </c>
      <c r="E216" s="1" t="s">
        <v>14</v>
      </c>
      <c r="F216">
        <v>270</v>
      </c>
      <c r="G216" s="1" t="s">
        <v>14</v>
      </c>
      <c r="H216">
        <v>192.40200000000002</v>
      </c>
      <c r="I216" s="1" t="s">
        <v>14</v>
      </c>
      <c r="J216">
        <v>0</v>
      </c>
      <c r="K216" s="1" t="s">
        <v>14</v>
      </c>
      <c r="L216">
        <v>0</v>
      </c>
      <c r="M216" s="1" t="s">
        <v>14</v>
      </c>
      <c r="N216">
        <v>0</v>
      </c>
      <c r="O216" s="1" t="s">
        <v>14</v>
      </c>
      <c r="P216">
        <v>192.40200000000004</v>
      </c>
      <c r="Q216" s="1" t="s">
        <v>14</v>
      </c>
      <c r="R216">
        <v>77.597999999999956</v>
      </c>
      <c r="S216" s="1" t="s">
        <v>14</v>
      </c>
      <c r="T216">
        <v>155.19599999999991</v>
      </c>
      <c r="U216" s="1" t="s">
        <v>14</v>
      </c>
      <c r="V216">
        <v>40.331181588548944</v>
      </c>
      <c r="W216" s="1" t="s">
        <v>14</v>
      </c>
      <c r="X216">
        <v>3848.04</v>
      </c>
      <c r="Y216" s="1" t="s">
        <v>12</v>
      </c>
      <c r="Z216" s="1" t="str">
        <f t="shared" si="3"/>
        <v>&lt;tr&gt; &lt;td&gt;7903303&lt;/td&gt;&lt;td&gt;SERVOGREASE MIRACLE 3-20 X 1/2 KG&lt;/td&gt;&lt;td&gt;270&lt;/td&gt;&lt;td&gt;192.402&lt;/td&gt;&lt;td&gt;0&lt;/td&gt;&lt;td&gt;0&lt;/td&gt;&lt;td&gt;0&lt;/td&gt;&lt;td&gt;192.402&lt;/td&gt;&lt;td&gt;77.598&lt;/td&gt;&lt;td&gt;155.196&lt;/td&gt;&lt;td&gt;40.3311815885489&lt;/td&gt;&lt;td&gt;3848.04&lt;/td&gt;&lt;/tr&gt;</v>
      </c>
    </row>
    <row r="217" spans="1:26" x14ac:dyDescent="0.3">
      <c r="A217" s="1" t="s">
        <v>13</v>
      </c>
      <c r="B217">
        <v>7903313</v>
      </c>
      <c r="C217" s="1" t="s">
        <v>14</v>
      </c>
      <c r="D217" t="s">
        <v>314</v>
      </c>
      <c r="E217" s="1" t="s">
        <v>14</v>
      </c>
      <c r="F217">
        <v>535</v>
      </c>
      <c r="G217" s="1" t="s">
        <v>14</v>
      </c>
      <c r="H217">
        <v>378.78</v>
      </c>
      <c r="I217" s="1" t="s">
        <v>14</v>
      </c>
      <c r="J217">
        <v>55</v>
      </c>
      <c r="K217" s="1" t="s">
        <v>14</v>
      </c>
      <c r="L217">
        <v>0</v>
      </c>
      <c r="M217" s="1" t="s">
        <v>14</v>
      </c>
      <c r="N217">
        <v>0</v>
      </c>
      <c r="O217" s="1" t="s">
        <v>14</v>
      </c>
      <c r="P217">
        <v>313.88</v>
      </c>
      <c r="Q217" s="1" t="s">
        <v>14</v>
      </c>
      <c r="R217">
        <v>221.12</v>
      </c>
      <c r="S217" s="1" t="s">
        <v>14</v>
      </c>
      <c r="T217">
        <v>221.12</v>
      </c>
      <c r="U217" s="1" t="s">
        <v>14</v>
      </c>
      <c r="V217">
        <v>70.447304702434053</v>
      </c>
      <c r="W217" s="1" t="s">
        <v>14</v>
      </c>
      <c r="X217">
        <v>3138.8</v>
      </c>
      <c r="Y217" s="1" t="s">
        <v>12</v>
      </c>
      <c r="Z217" s="1" t="str">
        <f t="shared" si="3"/>
        <v>&lt;tr&gt; &lt;td&gt;7903313&lt;/td&gt;&lt;td&gt;SERVOGREASE MIRACLE 3-10 X 1 KG&lt;/td&gt;&lt;td&gt;535&lt;/td&gt;&lt;td&gt;378.78&lt;/td&gt;&lt;td&gt;55&lt;/td&gt;&lt;td&gt;0&lt;/td&gt;&lt;td&gt;0&lt;/td&gt;&lt;td&gt;313.88&lt;/td&gt;&lt;td&gt;221.12&lt;/td&gt;&lt;td&gt;221.12&lt;/td&gt;&lt;td&gt;70.4473047024341&lt;/td&gt;&lt;td&gt;3138.8&lt;/td&gt;&lt;/tr&gt;</v>
      </c>
    </row>
    <row r="218" spans="1:26" x14ac:dyDescent="0.3">
      <c r="A218" s="1" t="s">
        <v>13</v>
      </c>
      <c r="B218">
        <v>7903327</v>
      </c>
      <c r="C218" s="1" t="s">
        <v>14</v>
      </c>
      <c r="D218" t="s">
        <v>315</v>
      </c>
      <c r="E218" s="1" t="s">
        <v>14</v>
      </c>
      <c r="F218">
        <v>1050</v>
      </c>
      <c r="G218" s="1" t="s">
        <v>14</v>
      </c>
      <c r="H218">
        <v>743.82</v>
      </c>
      <c r="I218" s="1" t="s">
        <v>14</v>
      </c>
      <c r="J218">
        <v>0</v>
      </c>
      <c r="K218" s="1" t="s">
        <v>14</v>
      </c>
      <c r="L218">
        <v>0</v>
      </c>
      <c r="M218" s="1" t="s">
        <v>14</v>
      </c>
      <c r="N218">
        <v>0</v>
      </c>
      <c r="O218" s="1" t="s">
        <v>14</v>
      </c>
      <c r="P218">
        <v>743.82</v>
      </c>
      <c r="Q218" s="1" t="s">
        <v>14</v>
      </c>
      <c r="R218">
        <v>306.17999999999995</v>
      </c>
      <c r="S218" s="1" t="s">
        <v>14</v>
      </c>
      <c r="T218">
        <v>153.08999999999997</v>
      </c>
      <c r="U218" s="1" t="s">
        <v>14</v>
      </c>
      <c r="V218">
        <v>41.163184641445497</v>
      </c>
      <c r="W218" s="1" t="s">
        <v>14</v>
      </c>
      <c r="X218">
        <v>4462.9200000000019</v>
      </c>
      <c r="Y218" s="1" t="s">
        <v>12</v>
      </c>
      <c r="Z218" s="1" t="str">
        <f t="shared" si="3"/>
        <v>&lt;tr&gt; &lt;td&gt;7903327&lt;/td&gt;&lt;td&gt;SERVOGREASE MIRACLE 3-6 X 2 KG&lt;/td&gt;&lt;td&gt;1050&lt;/td&gt;&lt;td&gt;743.82&lt;/td&gt;&lt;td&gt;0&lt;/td&gt;&lt;td&gt;0&lt;/td&gt;&lt;td&gt;0&lt;/td&gt;&lt;td&gt;743.82&lt;/td&gt;&lt;td&gt;306.18&lt;/td&gt;&lt;td&gt;153.09&lt;/td&gt;&lt;td&gt;41.1631846414455&lt;/td&gt;&lt;td&gt;4462.92&lt;/td&gt;&lt;/tr&gt;</v>
      </c>
    </row>
    <row r="219" spans="1:26" x14ac:dyDescent="0.3">
      <c r="A219" s="1" t="s">
        <v>13</v>
      </c>
      <c r="B219">
        <v>7903337</v>
      </c>
      <c r="C219" s="1" t="s">
        <v>14</v>
      </c>
      <c r="D219" t="s">
        <v>316</v>
      </c>
      <c r="E219" s="1" t="s">
        <v>14</v>
      </c>
      <c r="F219">
        <v>1560</v>
      </c>
      <c r="G219" s="1" t="s">
        <v>14</v>
      </c>
      <c r="H219">
        <v>1106.664</v>
      </c>
      <c r="I219" s="1" t="s">
        <v>14</v>
      </c>
      <c r="J219">
        <v>0</v>
      </c>
      <c r="K219" s="1" t="s">
        <v>14</v>
      </c>
      <c r="L219">
        <v>0</v>
      </c>
      <c r="M219" s="1" t="s">
        <v>14</v>
      </c>
      <c r="N219">
        <v>0</v>
      </c>
      <c r="O219" s="1" t="s">
        <v>14</v>
      </c>
      <c r="P219">
        <v>1106.664</v>
      </c>
      <c r="Q219" s="1" t="s">
        <v>14</v>
      </c>
      <c r="R219">
        <v>453.33600000000001</v>
      </c>
      <c r="S219" s="1" t="s">
        <v>14</v>
      </c>
      <c r="T219">
        <v>151.11200000000002</v>
      </c>
      <c r="U219" s="1" t="s">
        <v>14</v>
      </c>
      <c r="V219">
        <v>40.964195094446012</v>
      </c>
      <c r="W219" s="1" t="s">
        <v>14</v>
      </c>
      <c r="X219">
        <v>4426.655999999999</v>
      </c>
      <c r="Y219" s="1" t="s">
        <v>12</v>
      </c>
      <c r="Z219" s="1" t="str">
        <f t="shared" si="3"/>
        <v>&lt;tr&gt; &lt;td&gt;7903337&lt;/td&gt;&lt;td&gt;SERVOGREASE MIRACLE 3-4 X 3 KG&lt;/td&gt;&lt;td&gt;1560&lt;/td&gt;&lt;td&gt;1106.664&lt;/td&gt;&lt;td&gt;0&lt;/td&gt;&lt;td&gt;0&lt;/td&gt;&lt;td&gt;0&lt;/td&gt;&lt;td&gt;1106.664&lt;/td&gt;&lt;td&gt;453.336&lt;/td&gt;&lt;td&gt;151.112&lt;/td&gt;&lt;td&gt;40.964195094446&lt;/td&gt;&lt;td&gt;4426.656&lt;/td&gt;&lt;/tr&gt;</v>
      </c>
    </row>
    <row r="220" spans="1:26" x14ac:dyDescent="0.3">
      <c r="A220" s="1" t="s">
        <v>13</v>
      </c>
      <c r="B220">
        <v>7903339</v>
      </c>
      <c r="C220" s="1" t="s">
        <v>14</v>
      </c>
      <c r="D220" t="s">
        <v>317</v>
      </c>
      <c r="E220" s="1" t="s">
        <v>14</v>
      </c>
      <c r="F220">
        <v>2575</v>
      </c>
      <c r="G220" s="1" t="s">
        <v>14</v>
      </c>
      <c r="H220">
        <v>1834.43</v>
      </c>
      <c r="I220" s="1" t="s">
        <v>14</v>
      </c>
      <c r="J220">
        <v>0</v>
      </c>
      <c r="K220" s="1" t="s">
        <v>14</v>
      </c>
      <c r="L220">
        <v>0</v>
      </c>
      <c r="M220" s="1" t="s">
        <v>14</v>
      </c>
      <c r="N220">
        <v>0</v>
      </c>
      <c r="O220" s="1" t="s">
        <v>14</v>
      </c>
      <c r="P220">
        <v>1834.4300000000003</v>
      </c>
      <c r="Q220" s="1" t="s">
        <v>14</v>
      </c>
      <c r="R220">
        <v>740.56999999999971</v>
      </c>
      <c r="S220" s="1" t="s">
        <v>14</v>
      </c>
      <c r="T220">
        <v>148.11399999999992</v>
      </c>
      <c r="U220" s="1" t="s">
        <v>14</v>
      </c>
      <c r="V220">
        <v>40.370578326782685</v>
      </c>
      <c r="W220" s="1" t="s">
        <v>14</v>
      </c>
      <c r="X220">
        <v>1834.4300000000003</v>
      </c>
      <c r="Y220" s="1" t="s">
        <v>12</v>
      </c>
      <c r="Z220" s="1" t="str">
        <f t="shared" si="3"/>
        <v>&lt;tr&gt; &lt;td&gt;7903339&lt;/td&gt;&lt;td&gt;SERVOGREASE MIRACLE 3-5 KG &lt;/td&gt;&lt;td&gt;2575&lt;/td&gt;&lt;td&gt;1834.43&lt;/td&gt;&lt;td&gt;0&lt;/td&gt;&lt;td&gt;0&lt;/td&gt;&lt;td&gt;0&lt;/td&gt;&lt;td&gt;1834.43&lt;/td&gt;&lt;td&gt;740.57&lt;/td&gt;&lt;td&gt;148.114&lt;/td&gt;&lt;td&gt;40.3705783267827&lt;/td&gt;&lt;td&gt;1834.43&lt;/td&gt;&lt;/tr&gt;</v>
      </c>
    </row>
    <row r="221" spans="1:26" x14ac:dyDescent="0.3">
      <c r="A221" s="1" t="s">
        <v>13</v>
      </c>
      <c r="B221">
        <v>7903343</v>
      </c>
      <c r="C221" s="1" t="s">
        <v>14</v>
      </c>
      <c r="D221" t="s">
        <v>318</v>
      </c>
      <c r="E221" s="1" t="s">
        <v>14</v>
      </c>
      <c r="F221">
        <v>3570</v>
      </c>
      <c r="G221" s="1" t="s">
        <v>14</v>
      </c>
      <c r="H221">
        <v>2554.335</v>
      </c>
      <c r="I221" s="1" t="s">
        <v>14</v>
      </c>
      <c r="J221">
        <v>0</v>
      </c>
      <c r="K221" s="1" t="s">
        <v>14</v>
      </c>
      <c r="L221">
        <v>0</v>
      </c>
      <c r="M221" s="1" t="s">
        <v>14</v>
      </c>
      <c r="N221">
        <v>0</v>
      </c>
      <c r="O221" s="1" t="s">
        <v>14</v>
      </c>
      <c r="P221">
        <v>2554.335</v>
      </c>
      <c r="Q221" s="1" t="s">
        <v>14</v>
      </c>
      <c r="R221">
        <v>1015.665</v>
      </c>
      <c r="S221" s="1" t="s">
        <v>14</v>
      </c>
      <c r="T221">
        <v>145.09499999999997</v>
      </c>
      <c r="U221" s="1" t="s">
        <v>14</v>
      </c>
      <c r="V221">
        <v>39.762403913347306</v>
      </c>
      <c r="W221" s="1" t="s">
        <v>14</v>
      </c>
      <c r="X221">
        <v>2554.335</v>
      </c>
      <c r="Y221" s="1" t="s">
        <v>12</v>
      </c>
      <c r="Z221" s="1" t="str">
        <f t="shared" si="3"/>
        <v>&lt;tr&gt; &lt;td&gt;7903343&lt;/td&gt;&lt;td&gt;SERVOGREASE MIRACLE 3-7 KG &lt;/td&gt;&lt;td&gt;3570&lt;/td&gt;&lt;td&gt;2554.335&lt;/td&gt;&lt;td&gt;0&lt;/td&gt;&lt;td&gt;0&lt;/td&gt;&lt;td&gt;0&lt;/td&gt;&lt;td&gt;2554.335&lt;/td&gt;&lt;td&gt;1015.665&lt;/td&gt;&lt;td&gt;145.095&lt;/td&gt;&lt;td&gt;39.7624039133473&lt;/td&gt;&lt;td&gt;2554.335&lt;/td&gt;&lt;/tr&gt;</v>
      </c>
    </row>
    <row r="222" spans="1:26" x14ac:dyDescent="0.3">
      <c r="A222" s="1" t="s">
        <v>13</v>
      </c>
      <c r="B222">
        <v>7903344</v>
      </c>
      <c r="C222" s="1" t="s">
        <v>14</v>
      </c>
      <c r="D222" t="s">
        <v>319</v>
      </c>
      <c r="E222" s="1" t="s">
        <v>14</v>
      </c>
      <c r="F222">
        <v>5050</v>
      </c>
      <c r="G222" s="1" t="s">
        <v>14</v>
      </c>
      <c r="H222">
        <v>3618.83</v>
      </c>
      <c r="I222" s="1" t="s">
        <v>14</v>
      </c>
      <c r="J222">
        <v>0</v>
      </c>
      <c r="K222" s="1" t="s">
        <v>14</v>
      </c>
      <c r="L222">
        <v>0</v>
      </c>
      <c r="M222" s="1" t="s">
        <v>14</v>
      </c>
      <c r="N222">
        <v>0</v>
      </c>
      <c r="O222" s="1" t="s">
        <v>14</v>
      </c>
      <c r="P222">
        <v>3618.83</v>
      </c>
      <c r="Q222" s="1" t="s">
        <v>14</v>
      </c>
      <c r="R222">
        <v>1431.17</v>
      </c>
      <c r="S222" s="1" t="s">
        <v>14</v>
      </c>
      <c r="T222">
        <v>143.11700000000002</v>
      </c>
      <c r="U222" s="1" t="s">
        <v>14</v>
      </c>
      <c r="V222">
        <v>39.547864917666764</v>
      </c>
      <c r="W222" s="1" t="s">
        <v>14</v>
      </c>
      <c r="X222">
        <v>3618.83</v>
      </c>
      <c r="Y222" s="1" t="s">
        <v>12</v>
      </c>
      <c r="Z222" s="1" t="str">
        <f t="shared" si="3"/>
        <v>&lt;tr&gt; &lt;td&gt;7903344&lt;/td&gt;&lt;td&gt;SERVOGREASE MIRACLE 3-10 KG BUC &lt;/td&gt;&lt;td&gt;5050&lt;/td&gt;&lt;td&gt;3618.83&lt;/td&gt;&lt;td&gt;0&lt;/td&gt;&lt;td&gt;0&lt;/td&gt;&lt;td&gt;0&lt;/td&gt;&lt;td&gt;3618.83&lt;/td&gt;&lt;td&gt;1431.17&lt;/td&gt;&lt;td&gt;143.117&lt;/td&gt;&lt;td&gt;39.5478649176668&lt;/td&gt;&lt;td&gt;3618.83&lt;/td&gt;&lt;/tr&gt;</v>
      </c>
    </row>
    <row r="223" spans="1:26" x14ac:dyDescent="0.3">
      <c r="A223" s="1" t="s">
        <v>13</v>
      </c>
      <c r="B223">
        <v>7903341</v>
      </c>
      <c r="C223" s="1" t="s">
        <v>14</v>
      </c>
      <c r="D223" t="s">
        <v>320</v>
      </c>
      <c r="E223" s="1" t="s">
        <v>14</v>
      </c>
      <c r="F223">
        <v>9900</v>
      </c>
      <c r="G223" s="1" t="s">
        <v>14</v>
      </c>
      <c r="H223">
        <v>7059.69</v>
      </c>
      <c r="I223" s="1" t="s">
        <v>14</v>
      </c>
      <c r="J223">
        <v>0</v>
      </c>
      <c r="K223" s="1" t="s">
        <v>14</v>
      </c>
      <c r="L223">
        <v>0</v>
      </c>
      <c r="M223" s="1" t="s">
        <v>14</v>
      </c>
      <c r="N223">
        <v>0</v>
      </c>
      <c r="O223" s="1" t="s">
        <v>14</v>
      </c>
      <c r="P223">
        <v>7059.69</v>
      </c>
      <c r="Q223" s="1" t="s">
        <v>14</v>
      </c>
      <c r="R223">
        <v>2840.3100000000004</v>
      </c>
      <c r="S223" s="1" t="s">
        <v>14</v>
      </c>
      <c r="T223">
        <v>142.01550000000003</v>
      </c>
      <c r="U223" s="1" t="s">
        <v>14</v>
      </c>
      <c r="V223">
        <v>40.23278642546628</v>
      </c>
      <c r="W223" s="1" t="s">
        <v>14</v>
      </c>
      <c r="X223">
        <v>7059.6900000000023</v>
      </c>
      <c r="Y223" s="1" t="s">
        <v>12</v>
      </c>
      <c r="Z223" s="1" t="str">
        <f t="shared" si="3"/>
        <v>&lt;tr&gt; &lt;td&gt;7903341&lt;/td&gt;&lt;td&gt;SERVOGREASE MIRACLE 3-20 KG&lt;/td&gt;&lt;td&gt;9900&lt;/td&gt;&lt;td&gt;7059.69&lt;/td&gt;&lt;td&gt;0&lt;/td&gt;&lt;td&gt;0&lt;/td&gt;&lt;td&gt;0&lt;/td&gt;&lt;td&gt;7059.69&lt;/td&gt;&lt;td&gt;2840.31&lt;/td&gt;&lt;td&gt;142.0155&lt;/td&gt;&lt;td&gt;40.2327864254663&lt;/td&gt;&lt;td&gt;7059.69&lt;/td&gt;&lt;/tr&gt;</v>
      </c>
    </row>
    <row r="224" spans="1:26" x14ac:dyDescent="0.3">
      <c r="A224" s="1" t="s">
        <v>13</v>
      </c>
      <c r="B224">
        <v>7742341</v>
      </c>
      <c r="C224" s="1" t="s">
        <v>14</v>
      </c>
      <c r="D224" t="s">
        <v>321</v>
      </c>
      <c r="E224" s="1" t="s">
        <v>14</v>
      </c>
      <c r="F224">
        <v>8600</v>
      </c>
      <c r="G224" s="1" t="s">
        <v>14</v>
      </c>
      <c r="H224">
        <v>6856.78</v>
      </c>
      <c r="I224" s="1" t="s">
        <v>14</v>
      </c>
      <c r="J224">
        <v>44</v>
      </c>
      <c r="K224" s="1" t="s">
        <v>14</v>
      </c>
      <c r="L224">
        <v>0</v>
      </c>
      <c r="M224" s="1" t="s">
        <v>14</v>
      </c>
      <c r="N224">
        <v>0</v>
      </c>
      <c r="O224" s="1" t="s">
        <v>14</v>
      </c>
      <c r="P224">
        <v>5818.3799999999992</v>
      </c>
      <c r="Q224" s="1" t="s">
        <v>14</v>
      </c>
      <c r="R224">
        <v>2781.6200000000008</v>
      </c>
      <c r="S224" s="1" t="s">
        <v>14</v>
      </c>
      <c r="T224">
        <v>139.08100000000002</v>
      </c>
      <c r="U224" s="1" t="s">
        <v>14</v>
      </c>
      <c r="V224">
        <v>47.807465308212961</v>
      </c>
      <c r="W224" s="1" t="s">
        <v>14</v>
      </c>
      <c r="X224">
        <v>5818.3800000000019</v>
      </c>
      <c r="Y224" s="1" t="s">
        <v>12</v>
      </c>
      <c r="Z224" s="1" t="str">
        <f t="shared" si="3"/>
        <v>&lt;tr&gt; &lt;td&gt;7742341&lt;/td&gt;&lt;td&gt;SERVOGEM EP 2-20 KG BUC&lt;/td&gt;&lt;td&gt;8600&lt;/td&gt;&lt;td&gt;6856.78&lt;/td&gt;&lt;td&gt;44&lt;/td&gt;&lt;td&gt;0&lt;/td&gt;&lt;td&gt;0&lt;/td&gt;&lt;td&gt;5818.38&lt;/td&gt;&lt;td&gt;2781.62&lt;/td&gt;&lt;td&gt;139.081&lt;/td&gt;&lt;td&gt;47.807465308213&lt;/td&gt;&lt;td&gt;5818.38&lt;/td&gt;&lt;/tr&gt;</v>
      </c>
    </row>
    <row r="225" spans="1:26" x14ac:dyDescent="0.3">
      <c r="A225" s="1" t="s">
        <v>13</v>
      </c>
      <c r="B225">
        <v>2909165</v>
      </c>
      <c r="C225" s="1" t="s">
        <v>14</v>
      </c>
      <c r="D225" t="s">
        <v>322</v>
      </c>
      <c r="E225" s="1" t="s">
        <v>14</v>
      </c>
      <c r="F225">
        <v>110</v>
      </c>
      <c r="G225" s="1" t="s">
        <v>14</v>
      </c>
      <c r="H225">
        <v>87.955999999999989</v>
      </c>
      <c r="I225" s="1" t="s">
        <v>14</v>
      </c>
      <c r="J225">
        <v>0</v>
      </c>
      <c r="K225" s="1" t="s">
        <v>14</v>
      </c>
      <c r="L225">
        <v>0</v>
      </c>
      <c r="M225" s="1" t="s">
        <v>14</v>
      </c>
      <c r="N225">
        <v>0</v>
      </c>
      <c r="O225" s="1" t="s">
        <v>14</v>
      </c>
      <c r="P225">
        <v>87.955999999999989</v>
      </c>
      <c r="Q225" s="1" t="s">
        <v>14</v>
      </c>
      <c r="R225">
        <v>22.044000000000011</v>
      </c>
      <c r="S225" s="1" t="s">
        <v>14</v>
      </c>
      <c r="T225">
        <v>88.176000000000045</v>
      </c>
      <c r="U225" s="1" t="s">
        <v>14</v>
      </c>
      <c r="V225">
        <v>25.062531265632831</v>
      </c>
      <c r="W225" s="1" t="s">
        <v>14</v>
      </c>
      <c r="X225">
        <v>1759.12</v>
      </c>
      <c r="Y225" s="1" t="s">
        <v>12</v>
      </c>
      <c r="Z225" s="1" t="str">
        <f t="shared" si="3"/>
        <v>&lt;tr&gt; &lt;td&gt;2909165&lt;/td&gt;&lt;td&gt;SERVO BRAKE FLUID SUPER HD - 20X1/4L-HDP&lt;/td&gt;&lt;td&gt;110&lt;/td&gt;&lt;td&gt;87.956&lt;/td&gt;&lt;td&gt;0&lt;/td&gt;&lt;td&gt;0&lt;/td&gt;&lt;td&gt;0&lt;/td&gt;&lt;td&gt;87.956&lt;/td&gt;&lt;td&gt;22.044&lt;/td&gt;&lt;td&gt;88.176&lt;/td&gt;&lt;td&gt;25.0625312656328&lt;/td&gt;&lt;td&gt;1759.12&lt;/td&gt;&lt;/tr&gt;</v>
      </c>
    </row>
    <row r="226" spans="1:26" x14ac:dyDescent="0.3">
      <c r="A226" s="1" t="s">
        <v>13</v>
      </c>
      <c r="B226">
        <v>2909175</v>
      </c>
      <c r="C226" s="1" t="s">
        <v>14</v>
      </c>
      <c r="D226" t="s">
        <v>323</v>
      </c>
      <c r="E226" s="1" t="s">
        <v>14</v>
      </c>
      <c r="F226">
        <v>212</v>
      </c>
      <c r="G226" s="1" t="s">
        <v>14</v>
      </c>
      <c r="H226">
        <v>170.06639999999999</v>
      </c>
      <c r="I226" s="1" t="s">
        <v>14</v>
      </c>
      <c r="J226">
        <v>0</v>
      </c>
      <c r="K226" s="1" t="s">
        <v>14</v>
      </c>
      <c r="L226">
        <v>0</v>
      </c>
      <c r="M226" s="1" t="s">
        <v>14</v>
      </c>
      <c r="N226">
        <v>0</v>
      </c>
      <c r="O226" s="1" t="s">
        <v>14</v>
      </c>
      <c r="P226">
        <v>170.06639999999999</v>
      </c>
      <c r="Q226" s="1" t="s">
        <v>14</v>
      </c>
      <c r="R226">
        <v>41.933600000000013</v>
      </c>
      <c r="S226" s="1" t="s">
        <v>14</v>
      </c>
      <c r="T226">
        <v>83.867200000000025</v>
      </c>
      <c r="U226" s="1" t="s">
        <v>14</v>
      </c>
      <c r="V226">
        <v>24.657192720019953</v>
      </c>
      <c r="W226" s="1" t="s">
        <v>14</v>
      </c>
      <c r="X226">
        <v>3401.3280000000013</v>
      </c>
      <c r="Y226" s="1" t="s">
        <v>12</v>
      </c>
      <c r="Z226" s="1" t="str">
        <f t="shared" si="3"/>
        <v>&lt;tr&gt; &lt;td&gt;2909175&lt;/td&gt;&lt;td&gt;SERVO BRAKE FLUID SUPER HD -20X1/2L-HDPE&lt;/td&gt;&lt;td&gt;212&lt;/td&gt;&lt;td&gt;170.0664&lt;/td&gt;&lt;td&gt;0&lt;/td&gt;&lt;td&gt;0&lt;/td&gt;&lt;td&gt;0&lt;/td&gt;&lt;td&gt;170.0664&lt;/td&gt;&lt;td&gt;41.9336&lt;/td&gt;&lt;td&gt;83.8672&lt;/td&gt;&lt;td&gt;24.65719272002&lt;/td&gt;&lt;td&gt;3401.328&lt;/td&gt;&lt;/tr&gt;</v>
      </c>
    </row>
    <row r="227" spans="1:26" x14ac:dyDescent="0.3">
      <c r="A227" s="1" t="s">
        <v>13</v>
      </c>
      <c r="B227">
        <v>6488184</v>
      </c>
      <c r="C227" s="1" t="s">
        <v>14</v>
      </c>
      <c r="D227" t="s">
        <v>324</v>
      </c>
      <c r="E227" s="1" t="s">
        <v>14</v>
      </c>
      <c r="F227">
        <v>250</v>
      </c>
      <c r="G227" s="1" t="s">
        <v>14</v>
      </c>
      <c r="H227">
        <v>125</v>
      </c>
      <c r="I227" s="1" t="s">
        <v>14</v>
      </c>
      <c r="J227">
        <v>0</v>
      </c>
      <c r="K227" s="1" t="s">
        <v>14</v>
      </c>
      <c r="L227">
        <v>0</v>
      </c>
      <c r="M227" s="1" t="s">
        <v>14</v>
      </c>
      <c r="N227">
        <v>0</v>
      </c>
      <c r="O227" s="1" t="s">
        <v>14</v>
      </c>
      <c r="P227">
        <v>125</v>
      </c>
      <c r="Q227" s="1" t="s">
        <v>14</v>
      </c>
      <c r="R227">
        <v>125</v>
      </c>
      <c r="S227" s="1" t="s">
        <v>14</v>
      </c>
      <c r="T227">
        <v>125</v>
      </c>
      <c r="U227" s="1" t="s">
        <v>14</v>
      </c>
      <c r="V227">
        <v>100</v>
      </c>
      <c r="W227" s="1" t="s">
        <v>14</v>
      </c>
      <c r="X227">
        <v>2500.0000000000018</v>
      </c>
      <c r="Y227" s="1" t="s">
        <v>12</v>
      </c>
      <c r="Z227" s="1" t="str">
        <f t="shared" si="3"/>
        <v>&lt;tr&gt; &lt;td&gt;6488184&lt;/td&gt;&lt;td&gt;SERVO TROPIKOOL-20 X 1 L&lt;/td&gt;&lt;td&gt;250&lt;/td&gt;&lt;td&gt;125&lt;/td&gt;&lt;td&gt;0&lt;/td&gt;&lt;td&gt;0&lt;/td&gt;&lt;td&gt;0&lt;/td&gt;&lt;td&gt;125&lt;/td&gt;&lt;td&gt;125&lt;/td&gt;&lt;td&gt;125&lt;/td&gt;&lt;td&gt;100&lt;/td&gt;&lt;td&gt;2500&lt;/td&gt;&lt;/tr&gt;</v>
      </c>
    </row>
    <row r="228" spans="1:26" x14ac:dyDescent="0.3">
      <c r="A228" s="1" t="s">
        <v>13</v>
      </c>
      <c r="B228">
        <v>6489184</v>
      </c>
      <c r="C228" s="1" t="s">
        <v>14</v>
      </c>
      <c r="D228" t="s">
        <v>325</v>
      </c>
      <c r="E228" s="1" t="s">
        <v>14</v>
      </c>
      <c r="F228">
        <v>225</v>
      </c>
      <c r="G228" s="1" t="s">
        <v>14</v>
      </c>
      <c r="H228">
        <v>101.25</v>
      </c>
      <c r="I228" s="1" t="s">
        <v>14</v>
      </c>
      <c r="J228">
        <v>0</v>
      </c>
      <c r="K228" s="1" t="s">
        <v>14</v>
      </c>
      <c r="L228">
        <v>0</v>
      </c>
      <c r="M228" s="1" t="s">
        <v>14</v>
      </c>
      <c r="N228">
        <v>0</v>
      </c>
      <c r="O228" s="1" t="s">
        <v>14</v>
      </c>
      <c r="P228">
        <v>101.25</v>
      </c>
      <c r="Q228" s="1" t="s">
        <v>14</v>
      </c>
      <c r="R228">
        <v>123.75</v>
      </c>
      <c r="S228" s="1" t="s">
        <v>14</v>
      </c>
      <c r="T228">
        <v>123.75</v>
      </c>
      <c r="U228" s="1" t="s">
        <v>14</v>
      </c>
      <c r="V228">
        <v>122.22222222222223</v>
      </c>
      <c r="W228" s="1" t="s">
        <v>14</v>
      </c>
      <c r="X228">
        <v>2025.0000000000014</v>
      </c>
      <c r="Y228" s="1" t="s">
        <v>12</v>
      </c>
      <c r="Z228" s="1" t="str">
        <f t="shared" si="3"/>
        <v>&lt;tr&gt; &lt;td&gt;6489184&lt;/td&gt;&lt;td&gt;SERVO TROPIKOOL READY-20 X 1 L&lt;/td&gt;&lt;td&gt;225&lt;/td&gt;&lt;td&gt;101.25&lt;/td&gt;&lt;td&gt;0&lt;/td&gt;&lt;td&gt;0&lt;/td&gt;&lt;td&gt;0&lt;/td&gt;&lt;td&gt;101.25&lt;/td&gt;&lt;td&gt;123.75&lt;/td&gt;&lt;td&gt;123.75&lt;/td&gt;&lt;td&gt;122.222222222222&lt;/td&gt;&lt;td&gt;2025&lt;/td&gt;&lt;/tr&gt;</v>
      </c>
    </row>
    <row r="229" spans="1:26" x14ac:dyDescent="0.3">
      <c r="A229" s="1" t="s">
        <v>13</v>
      </c>
      <c r="B229">
        <v>7584165</v>
      </c>
      <c r="C229" s="1" t="s">
        <v>14</v>
      </c>
      <c r="D229" t="s">
        <v>326</v>
      </c>
      <c r="E229" s="1" t="s">
        <v>14</v>
      </c>
      <c r="F229">
        <v>104</v>
      </c>
      <c r="G229" s="1" t="s">
        <v>14</v>
      </c>
      <c r="H229">
        <v>78.78</v>
      </c>
      <c r="I229" s="1" t="s">
        <v>14</v>
      </c>
      <c r="J229">
        <v>0</v>
      </c>
      <c r="K229" s="1" t="s">
        <v>14</v>
      </c>
      <c r="L229">
        <v>0</v>
      </c>
      <c r="M229" s="1" t="s">
        <v>14</v>
      </c>
      <c r="N229">
        <v>0</v>
      </c>
      <c r="O229" s="1" t="s">
        <v>14</v>
      </c>
      <c r="P229">
        <v>78.78</v>
      </c>
      <c r="Q229" s="1" t="s">
        <v>14</v>
      </c>
      <c r="R229">
        <v>25.22</v>
      </c>
      <c r="S229" s="1" t="s">
        <v>14</v>
      </c>
      <c r="T229">
        <v>100.88</v>
      </c>
      <c r="U229" s="1" t="s">
        <v>14</v>
      </c>
      <c r="V229">
        <v>32.013201320132012</v>
      </c>
      <c r="W229" s="1" t="s">
        <v>14</v>
      </c>
      <c r="X229">
        <v>1575.6</v>
      </c>
      <c r="Y229" s="1" t="s">
        <v>12</v>
      </c>
      <c r="Z229" s="1" t="str">
        <f t="shared" si="3"/>
        <v>&lt;tr&gt; &lt;td&gt;7584165&lt;/td&gt;&lt;td&gt;SERVO KOOL PLUS - 20X1/4L-HDPE&lt;/td&gt;&lt;td&gt;104&lt;/td&gt;&lt;td&gt;78.78&lt;/td&gt;&lt;td&gt;0&lt;/td&gt;&lt;td&gt;0&lt;/td&gt;&lt;td&gt;0&lt;/td&gt;&lt;td&gt;78.78&lt;/td&gt;&lt;td&gt;25.22&lt;/td&gt;&lt;td&gt;100.88&lt;/td&gt;&lt;td&gt;32.013201320132&lt;/td&gt;&lt;td&gt;1575.6&lt;/td&gt;&lt;/tr&gt;</v>
      </c>
    </row>
    <row r="230" spans="1:26" x14ac:dyDescent="0.3">
      <c r="A230" s="1" t="s">
        <v>13</v>
      </c>
      <c r="B230">
        <v>7584175</v>
      </c>
      <c r="C230" s="1" t="s">
        <v>14</v>
      </c>
      <c r="D230" t="s">
        <v>327</v>
      </c>
      <c r="E230" s="1" t="s">
        <v>14</v>
      </c>
      <c r="F230">
        <v>203</v>
      </c>
      <c r="G230" s="1" t="s">
        <v>14</v>
      </c>
      <c r="H230">
        <v>157.5686</v>
      </c>
      <c r="I230" s="1" t="s">
        <v>14</v>
      </c>
      <c r="J230">
        <v>0</v>
      </c>
      <c r="K230" s="1" t="s">
        <v>14</v>
      </c>
      <c r="L230">
        <v>0</v>
      </c>
      <c r="M230" s="1" t="s">
        <v>14</v>
      </c>
      <c r="N230">
        <v>0</v>
      </c>
      <c r="O230" s="1" t="s">
        <v>14</v>
      </c>
      <c r="P230">
        <v>157.5686</v>
      </c>
      <c r="Q230" s="1" t="s">
        <v>14</v>
      </c>
      <c r="R230">
        <v>45.431399999999996</v>
      </c>
      <c r="S230" s="1" t="s">
        <v>14</v>
      </c>
      <c r="T230">
        <v>90.862799999999993</v>
      </c>
      <c r="U230" s="1" t="s">
        <v>14</v>
      </c>
      <c r="V230">
        <v>28.832775057974747</v>
      </c>
      <c r="W230" s="1" t="s">
        <v>14</v>
      </c>
      <c r="X230">
        <v>3151.3720000000017</v>
      </c>
      <c r="Y230" s="1" t="s">
        <v>12</v>
      </c>
      <c r="Z230" s="1" t="str">
        <f t="shared" si="3"/>
        <v>&lt;tr&gt; &lt;td&gt;7584175&lt;/td&gt;&lt;td&gt;SERVO KOOL PLUS-20X1/2L-HDPE&lt;/td&gt;&lt;td&gt;203&lt;/td&gt;&lt;td&gt;157.5686&lt;/td&gt;&lt;td&gt;0&lt;/td&gt;&lt;td&gt;0&lt;/td&gt;&lt;td&gt;0&lt;/td&gt;&lt;td&gt;157.5686&lt;/td&gt;&lt;td&gt;45.4314&lt;/td&gt;&lt;td&gt;90.8628&lt;/td&gt;&lt;td&gt;28.8327750579747&lt;/td&gt;&lt;td&gt;3151.372&lt;/td&gt;&lt;/tr&gt;</v>
      </c>
    </row>
    <row r="231" spans="1:26" x14ac:dyDescent="0.3">
      <c r="A231" s="1" t="s">
        <v>13</v>
      </c>
      <c r="B231">
        <v>7584184</v>
      </c>
      <c r="C231" s="1" t="s">
        <v>14</v>
      </c>
      <c r="D231" t="s">
        <v>328</v>
      </c>
      <c r="E231" s="1" t="s">
        <v>14</v>
      </c>
      <c r="F231">
        <v>370</v>
      </c>
      <c r="G231" s="1" t="s">
        <v>14</v>
      </c>
      <c r="H231">
        <v>287.63799999999998</v>
      </c>
      <c r="I231" s="1" t="s">
        <v>14</v>
      </c>
      <c r="J231">
        <v>0</v>
      </c>
      <c r="K231" s="1" t="s">
        <v>14</v>
      </c>
      <c r="L231">
        <v>0</v>
      </c>
      <c r="M231" s="1" t="s">
        <v>14</v>
      </c>
      <c r="N231">
        <v>0</v>
      </c>
      <c r="O231" s="1" t="s">
        <v>14</v>
      </c>
      <c r="P231">
        <v>287.63799999999998</v>
      </c>
      <c r="Q231" s="1" t="s">
        <v>14</v>
      </c>
      <c r="R231">
        <v>82.362000000000023</v>
      </c>
      <c r="S231" s="1" t="s">
        <v>14</v>
      </c>
      <c r="T231">
        <v>82.362000000000023</v>
      </c>
      <c r="U231" s="1" t="s">
        <v>14</v>
      </c>
      <c r="V231">
        <v>28.633907898121958</v>
      </c>
      <c r="W231" s="1" t="s">
        <v>14</v>
      </c>
      <c r="X231">
        <v>5752.7600000000039</v>
      </c>
      <c r="Y231" s="1" t="s">
        <v>12</v>
      </c>
      <c r="Z231" s="1" t="str">
        <f t="shared" si="3"/>
        <v>&lt;tr&gt; &lt;td&gt;7584184&lt;/td&gt;&lt;td&gt;SERVO KOOL PLUS-20X1L-HDPE&lt;/td&gt;&lt;td&gt;370&lt;/td&gt;&lt;td&gt;287.638&lt;/td&gt;&lt;td&gt;0&lt;/td&gt;&lt;td&gt;0&lt;/td&gt;&lt;td&gt;0&lt;/td&gt;&lt;td&gt;287.638&lt;/td&gt;&lt;td&gt;82.362&lt;/td&gt;&lt;td&gt;82.362&lt;/td&gt;&lt;td&gt;28.633907898122&lt;/td&gt;&lt;td&gt;5752.76&lt;/td&gt;&lt;/tr&gt;</v>
      </c>
    </row>
    <row r="232" spans="1:26" x14ac:dyDescent="0.3">
      <c r="A232" s="1" t="s">
        <v>13</v>
      </c>
      <c r="B232">
        <v>7584185</v>
      </c>
      <c r="C232" s="1" t="s">
        <v>14</v>
      </c>
      <c r="D232" t="s">
        <v>329</v>
      </c>
      <c r="E232" s="1" t="s">
        <v>14</v>
      </c>
      <c r="F232">
        <v>370</v>
      </c>
      <c r="G232" s="1" t="s">
        <v>14</v>
      </c>
      <c r="H232">
        <v>287.63799999999998</v>
      </c>
      <c r="I232" s="1" t="s">
        <v>14</v>
      </c>
      <c r="J232">
        <v>0</v>
      </c>
      <c r="K232" s="1" t="s">
        <v>14</v>
      </c>
      <c r="L232">
        <v>0</v>
      </c>
      <c r="M232" s="1" t="s">
        <v>14</v>
      </c>
      <c r="N232">
        <v>0</v>
      </c>
      <c r="O232" s="1" t="s">
        <v>14</v>
      </c>
      <c r="P232">
        <v>287.63799999999998</v>
      </c>
      <c r="Q232" s="1" t="s">
        <v>14</v>
      </c>
      <c r="R232">
        <v>82.362000000000023</v>
      </c>
      <c r="S232" s="1" t="s">
        <v>14</v>
      </c>
      <c r="T232">
        <v>82.362000000000023</v>
      </c>
      <c r="U232" s="1" t="s">
        <v>14</v>
      </c>
      <c r="V232">
        <v>28.633907898121958</v>
      </c>
      <c r="W232" s="1" t="s">
        <v>14</v>
      </c>
      <c r="X232">
        <v>2876.3800000000015</v>
      </c>
      <c r="Y232" s="1" t="s">
        <v>12</v>
      </c>
      <c r="Z232" s="1" t="str">
        <f t="shared" si="3"/>
        <v>&lt;tr&gt; &lt;td&gt;7584185&lt;/td&gt;&lt;td&gt;SERVO KOOL PLUS-10X1L-HDPE&lt;/td&gt;&lt;td&gt;370&lt;/td&gt;&lt;td&gt;287.638&lt;/td&gt;&lt;td&gt;0&lt;/td&gt;&lt;td&gt;0&lt;/td&gt;&lt;td&gt;0&lt;/td&gt;&lt;td&gt;287.638&lt;/td&gt;&lt;td&gt;82.362&lt;/td&gt;&lt;td&gt;82.362&lt;/td&gt;&lt;td&gt;28.633907898122&lt;/td&gt;&lt;td&gt;2876.38&lt;/td&gt;&lt;/tr&gt;</v>
      </c>
    </row>
    <row r="233" spans="1:26" x14ac:dyDescent="0.3">
      <c r="A233" s="1" t="s">
        <v>13</v>
      </c>
      <c r="B233">
        <v>7607185</v>
      </c>
      <c r="C233" s="1" t="s">
        <v>14</v>
      </c>
      <c r="D233" t="s">
        <v>330</v>
      </c>
      <c r="E233" s="1" t="s">
        <v>14</v>
      </c>
      <c r="F233">
        <v>270</v>
      </c>
      <c r="G233" s="1" t="s">
        <v>14</v>
      </c>
      <c r="H233">
        <v>207.63</v>
      </c>
      <c r="I233" s="1" t="s">
        <v>14</v>
      </c>
      <c r="J233">
        <v>0</v>
      </c>
      <c r="K233" s="1" t="s">
        <v>14</v>
      </c>
      <c r="L233">
        <v>0</v>
      </c>
      <c r="M233" s="1" t="s">
        <v>14</v>
      </c>
      <c r="N233">
        <v>0</v>
      </c>
      <c r="O233" s="1" t="s">
        <v>14</v>
      </c>
      <c r="P233">
        <v>207.63</v>
      </c>
      <c r="Q233" s="1" t="s">
        <v>14</v>
      </c>
      <c r="R233">
        <v>62.370000000000005</v>
      </c>
      <c r="S233" s="1" t="s">
        <v>14</v>
      </c>
      <c r="T233">
        <v>62.370000000000005</v>
      </c>
      <c r="U233" s="1" t="s">
        <v>14</v>
      </c>
      <c r="V233">
        <v>30.039011703511054</v>
      </c>
      <c r="W233" s="1" t="s">
        <v>14</v>
      </c>
      <c r="X233">
        <v>2076.3000000000011</v>
      </c>
      <c r="Y233" s="1" t="s">
        <v>12</v>
      </c>
      <c r="Z233" s="1" t="str">
        <f t="shared" si="3"/>
        <v>&lt;tr&gt; &lt;td&gt;7607185&lt;/td&gt;&lt;td&gt;SERVO KOOL READY-10X1L-HDPE&lt;/td&gt;&lt;td&gt;270&lt;/td&gt;&lt;td&gt;207.63&lt;/td&gt;&lt;td&gt;0&lt;/td&gt;&lt;td&gt;0&lt;/td&gt;&lt;td&gt;0&lt;/td&gt;&lt;td&gt;207.63&lt;/td&gt;&lt;td&gt;62.37&lt;/td&gt;&lt;td&gt;62.37&lt;/td&gt;&lt;td&gt;30.0390117035111&lt;/td&gt;&lt;td&gt;2076.3&lt;/td&gt;&lt;/tr&gt;</v>
      </c>
    </row>
    <row r="234" spans="1:26" x14ac:dyDescent="0.3">
      <c r="A234" s="1" t="s">
        <v>13</v>
      </c>
      <c r="B234">
        <v>2914165</v>
      </c>
      <c r="C234" s="1" t="s">
        <v>14</v>
      </c>
      <c r="D234" t="s">
        <v>331</v>
      </c>
      <c r="E234" s="1" t="s">
        <v>14</v>
      </c>
      <c r="F234">
        <v>159</v>
      </c>
      <c r="G234" s="1" t="s">
        <v>14</v>
      </c>
      <c r="H234">
        <v>112.85820000000001</v>
      </c>
      <c r="I234" s="1" t="s">
        <v>14</v>
      </c>
      <c r="J234">
        <v>0</v>
      </c>
      <c r="K234" s="1" t="s">
        <v>14</v>
      </c>
      <c r="L234">
        <v>0</v>
      </c>
      <c r="M234" s="1" t="s">
        <v>14</v>
      </c>
      <c r="N234">
        <v>0</v>
      </c>
      <c r="O234" s="1" t="s">
        <v>14</v>
      </c>
      <c r="P234">
        <v>112.85820000000001</v>
      </c>
      <c r="Q234" s="1" t="s">
        <v>14</v>
      </c>
      <c r="R234">
        <v>46.141799999999989</v>
      </c>
      <c r="S234" s="1" t="s">
        <v>14</v>
      </c>
      <c r="T234">
        <v>184.56719999999996</v>
      </c>
      <c r="U234" s="1" t="s">
        <v>14</v>
      </c>
      <c r="V234">
        <v>40.884756269371643</v>
      </c>
      <c r="W234" s="1" t="s">
        <v>14</v>
      </c>
      <c r="X234">
        <v>2257.1640000000002</v>
      </c>
      <c r="Y234" s="1" t="s">
        <v>12</v>
      </c>
      <c r="Z234" s="1" t="str">
        <f t="shared" si="3"/>
        <v>&lt;tr&gt; &lt;td&gt;2914165&lt;/td&gt;&lt;td&gt;SERVO BRAKE FLUID DOT 4-20 X 1/4 L&lt;/td&gt;&lt;td&gt;159&lt;/td&gt;&lt;td&gt;112.8582&lt;/td&gt;&lt;td&gt;0&lt;/td&gt;&lt;td&gt;0&lt;/td&gt;&lt;td&gt;0&lt;/td&gt;&lt;td&gt;112.8582&lt;/td&gt;&lt;td&gt;46.1418&lt;/td&gt;&lt;td&gt;184.5672&lt;/td&gt;&lt;td&gt;40.8847562693716&lt;/td&gt;&lt;td&gt;2257.164&lt;/td&gt;&lt;/tr&gt;</v>
      </c>
    </row>
    <row r="235" spans="1:26" x14ac:dyDescent="0.3">
      <c r="A235" s="1" t="s">
        <v>13</v>
      </c>
      <c r="B235">
        <v>2914175</v>
      </c>
      <c r="C235" s="1" t="s">
        <v>14</v>
      </c>
      <c r="D235" t="s">
        <v>332</v>
      </c>
      <c r="E235" s="1" t="s">
        <v>14</v>
      </c>
      <c r="F235">
        <v>302</v>
      </c>
      <c r="G235" s="1" t="s">
        <v>14</v>
      </c>
      <c r="H235">
        <v>216.29240000000001</v>
      </c>
      <c r="I235" s="1" t="s">
        <v>14</v>
      </c>
      <c r="J235">
        <v>0</v>
      </c>
      <c r="K235" s="1" t="s">
        <v>14</v>
      </c>
      <c r="L235">
        <v>0</v>
      </c>
      <c r="M235" s="1" t="s">
        <v>14</v>
      </c>
      <c r="N235">
        <v>0</v>
      </c>
      <c r="O235" s="1" t="s">
        <v>14</v>
      </c>
      <c r="P235">
        <v>216.29240000000001</v>
      </c>
      <c r="Q235" s="1" t="s">
        <v>14</v>
      </c>
      <c r="R235">
        <v>85.707599999999985</v>
      </c>
      <c r="S235" s="1" t="s">
        <v>14</v>
      </c>
      <c r="T235">
        <v>171.41519999999997</v>
      </c>
      <c r="U235" s="1" t="s">
        <v>14</v>
      </c>
      <c r="V235">
        <v>39.625802848366369</v>
      </c>
      <c r="W235" s="1" t="s">
        <v>14</v>
      </c>
      <c r="X235">
        <v>4325.8480000000027</v>
      </c>
      <c r="Y235" s="1" t="s">
        <v>12</v>
      </c>
      <c r="Z235" s="1" t="str">
        <f t="shared" si="3"/>
        <v>&lt;tr&gt; &lt;td&gt;2914175&lt;/td&gt;&lt;td&gt;SERVO BRAKE FLUID DOT 4-20 X 1/2 L&lt;/td&gt;&lt;td&gt;302&lt;/td&gt;&lt;td&gt;216.2924&lt;/td&gt;&lt;td&gt;0&lt;/td&gt;&lt;td&gt;0&lt;/td&gt;&lt;td&gt;0&lt;/td&gt;&lt;td&gt;216.2924&lt;/td&gt;&lt;td&gt;85.7076&lt;/td&gt;&lt;td&gt;171.4152&lt;/td&gt;&lt;td&gt;39.6258028483664&lt;/td&gt;&lt;td&gt;4325.848&lt;/td&gt;&lt;/tr&gt;</v>
      </c>
    </row>
    <row r="236" spans="1:26" x14ac:dyDescent="0.3">
      <c r="A236" s="1" t="s">
        <v>13</v>
      </c>
      <c r="B236">
        <v>7607184</v>
      </c>
      <c r="C236" s="1" t="s">
        <v>14</v>
      </c>
      <c r="D236" t="s">
        <v>333</v>
      </c>
      <c r="E236" s="1" t="s">
        <v>14</v>
      </c>
      <c r="F236">
        <v>270</v>
      </c>
      <c r="G236" s="1" t="s">
        <v>14</v>
      </c>
      <c r="H236">
        <v>207.63</v>
      </c>
      <c r="I236" s="1" t="s">
        <v>14</v>
      </c>
      <c r="J236">
        <v>0</v>
      </c>
      <c r="K236" s="1" t="s">
        <v>14</v>
      </c>
      <c r="L236">
        <v>0</v>
      </c>
      <c r="M236" s="1" t="s">
        <v>14</v>
      </c>
      <c r="N236">
        <v>0</v>
      </c>
      <c r="O236" s="1" t="s">
        <v>14</v>
      </c>
      <c r="P236">
        <v>207.63</v>
      </c>
      <c r="Q236" s="1" t="s">
        <v>14</v>
      </c>
      <c r="R236">
        <v>62.370000000000005</v>
      </c>
      <c r="S236" s="1" t="s">
        <v>14</v>
      </c>
      <c r="T236">
        <v>62.370000000000005</v>
      </c>
      <c r="U236" s="1" t="s">
        <v>14</v>
      </c>
      <c r="V236">
        <v>30.039011703511054</v>
      </c>
      <c r="W236" s="1" t="s">
        <v>14</v>
      </c>
      <c r="X236">
        <v>4152.6000000000031</v>
      </c>
      <c r="Y236" s="1" t="s">
        <v>12</v>
      </c>
      <c r="Z236" s="1" t="str">
        <f t="shared" si="3"/>
        <v>&lt;tr&gt; &lt;td&gt;7607184&lt;/td&gt;&lt;td&gt;SERVO KOOL READY-20X1L-HDPE&lt;/td&gt;&lt;td&gt;270&lt;/td&gt;&lt;td&gt;207.63&lt;/td&gt;&lt;td&gt;0&lt;/td&gt;&lt;td&gt;0&lt;/td&gt;&lt;td&gt;0&lt;/td&gt;&lt;td&gt;207.63&lt;/td&gt;&lt;td&gt;62.37&lt;/td&gt;&lt;td&gt;62.37&lt;/td&gt;&lt;td&gt;30.0390117035111&lt;/td&gt;&lt;td&gt;4152.6&lt;/td&gt;&lt;/tr&gt;</v>
      </c>
    </row>
    <row r="237" spans="1:26" x14ac:dyDescent="0.3">
      <c r="A237" s="1" t="s">
        <v>13</v>
      </c>
      <c r="B237">
        <v>3001265</v>
      </c>
      <c r="C237" s="1" t="s">
        <v>14</v>
      </c>
      <c r="D237" t="s">
        <v>334</v>
      </c>
      <c r="E237" s="1" t="s">
        <v>14</v>
      </c>
      <c r="F237">
        <v>5010</v>
      </c>
      <c r="G237" s="1" t="s">
        <v>14</v>
      </c>
      <c r="H237">
        <v>4638.759</v>
      </c>
      <c r="I237" s="1" t="s">
        <v>14</v>
      </c>
      <c r="J237">
        <v>69</v>
      </c>
      <c r="K237" s="1" t="s">
        <v>14</v>
      </c>
      <c r="L237">
        <v>0</v>
      </c>
      <c r="M237" s="1" t="s">
        <v>14</v>
      </c>
      <c r="N237">
        <v>0</v>
      </c>
      <c r="O237" s="1" t="s">
        <v>14</v>
      </c>
      <c r="P237">
        <v>3010.3590000000004</v>
      </c>
      <c r="Q237" s="1" t="s">
        <v>14</v>
      </c>
      <c r="R237">
        <v>1999.6409999999996</v>
      </c>
      <c r="S237" s="1" t="s">
        <v>14</v>
      </c>
      <c r="T237">
        <v>99.982049999999987</v>
      </c>
      <c r="U237" s="1" t="s">
        <v>14</v>
      </c>
      <c r="V237">
        <v>66.425333324032096</v>
      </c>
      <c r="W237" s="1" t="s">
        <v>14</v>
      </c>
      <c r="X237">
        <v>3010.3590000000022</v>
      </c>
      <c r="Y237" s="1" t="s">
        <v>12</v>
      </c>
      <c r="Z237" s="1" t="str">
        <f t="shared" si="3"/>
        <v>&lt;tr&gt; &lt;td&gt;3001265&lt;/td&gt;&lt;td&gt;SERVOSYSTEM 32-20L BUC&lt;/td&gt;&lt;td&gt;5010&lt;/td&gt;&lt;td&gt;4638.759&lt;/td&gt;&lt;td&gt;69&lt;/td&gt;&lt;td&gt;0&lt;/td&gt;&lt;td&gt;0&lt;/td&gt;&lt;td&gt;3010.359&lt;/td&gt;&lt;td&gt;1999.641&lt;/td&gt;&lt;td&gt;99.98205&lt;/td&gt;&lt;td&gt;66.4253333240321&lt;/td&gt;&lt;td&gt;3010.359&lt;/td&gt;&lt;/tr&gt;</v>
      </c>
    </row>
    <row r="238" spans="1:26" x14ac:dyDescent="0.3">
      <c r="A238" s="1" t="s">
        <v>13</v>
      </c>
      <c r="B238">
        <v>3002265</v>
      </c>
      <c r="C238" s="1" t="s">
        <v>14</v>
      </c>
      <c r="D238" t="s">
        <v>335</v>
      </c>
      <c r="E238" s="1" t="s">
        <v>14</v>
      </c>
      <c r="F238">
        <v>5082</v>
      </c>
      <c r="G238" s="1" t="s">
        <v>14</v>
      </c>
      <c r="H238">
        <v>4705.4238000000005</v>
      </c>
      <c r="I238" s="1" t="s">
        <v>14</v>
      </c>
      <c r="J238">
        <v>69</v>
      </c>
      <c r="K238" s="1" t="s">
        <v>14</v>
      </c>
      <c r="L238">
        <v>0</v>
      </c>
      <c r="M238" s="1" t="s">
        <v>14</v>
      </c>
      <c r="N238">
        <v>0</v>
      </c>
      <c r="O238" s="1" t="s">
        <v>14</v>
      </c>
      <c r="P238">
        <v>3077.0238000000008</v>
      </c>
      <c r="Q238" s="1" t="s">
        <v>14</v>
      </c>
      <c r="R238">
        <v>2004.9761999999992</v>
      </c>
      <c r="S238" s="1" t="s">
        <v>14</v>
      </c>
      <c r="T238">
        <v>100.24880999999996</v>
      </c>
      <c r="U238" s="1" t="s">
        <v>14</v>
      </c>
      <c r="V238">
        <v>65.15959350070672</v>
      </c>
      <c r="W238" s="1" t="s">
        <v>14</v>
      </c>
      <c r="X238">
        <v>3077.0238000000031</v>
      </c>
      <c r="Y238" s="1" t="s">
        <v>12</v>
      </c>
      <c r="Z238" s="1" t="str">
        <f t="shared" si="3"/>
        <v>&lt;tr&gt; &lt;td&gt;3002265&lt;/td&gt;&lt;td&gt;SERVOSYSTEM 46 - 20L BUC&lt;/td&gt;&lt;td&gt;5082&lt;/td&gt;&lt;td&gt;4705.4238&lt;/td&gt;&lt;td&gt;69&lt;/td&gt;&lt;td&gt;0&lt;/td&gt;&lt;td&gt;0&lt;/td&gt;&lt;td&gt;3077.0238&lt;/td&gt;&lt;td&gt;2004.9762&lt;/td&gt;&lt;td&gt;100.24881&lt;/td&gt;&lt;td&gt;65.1595935007067&lt;/td&gt;&lt;td&gt;3077.0238&lt;/td&gt;&lt;/tr&gt;</v>
      </c>
    </row>
    <row r="239" spans="1:26" x14ac:dyDescent="0.3">
      <c r="A239" s="1" t="s">
        <v>13</v>
      </c>
      <c r="B239">
        <v>3006234</v>
      </c>
      <c r="C239" s="1" t="s">
        <v>14</v>
      </c>
      <c r="D239" t="s">
        <v>336</v>
      </c>
      <c r="E239" s="1" t="s">
        <v>14</v>
      </c>
      <c r="F239">
        <v>1383</v>
      </c>
      <c r="G239" s="1" t="s">
        <v>14</v>
      </c>
      <c r="H239">
        <v>1280.1048000000001</v>
      </c>
      <c r="I239" s="1" t="s">
        <v>14</v>
      </c>
      <c r="J239">
        <v>72</v>
      </c>
      <c r="K239" s="1" t="s">
        <v>14</v>
      </c>
      <c r="L239">
        <v>0</v>
      </c>
      <c r="M239" s="1" t="s">
        <v>14</v>
      </c>
      <c r="N239">
        <v>0</v>
      </c>
      <c r="O239" s="1" t="s">
        <v>14</v>
      </c>
      <c r="P239">
        <v>855.3048</v>
      </c>
      <c r="Q239" s="1" t="s">
        <v>14</v>
      </c>
      <c r="R239">
        <v>527.6952</v>
      </c>
      <c r="S239" s="1" t="s">
        <v>14</v>
      </c>
      <c r="T239">
        <v>105.53904000000003</v>
      </c>
      <c r="U239" s="1" t="s">
        <v>14</v>
      </c>
      <c r="V239">
        <v>61.696742494605431</v>
      </c>
      <c r="W239" s="1" t="s">
        <v>14</v>
      </c>
      <c r="X239">
        <v>3421.2192000000023</v>
      </c>
      <c r="Y239" s="1" t="s">
        <v>12</v>
      </c>
      <c r="Z239" s="1" t="str">
        <f t="shared" si="3"/>
        <v>&lt;tr&gt; &lt;td&gt;3006234&lt;/td&gt;&lt;td&gt;SERVOSYSTEM 68-4x5L - HDPE&lt;/td&gt;&lt;td&gt;1383&lt;/td&gt;&lt;td&gt;1280.1048&lt;/td&gt;&lt;td&gt;72&lt;/td&gt;&lt;td&gt;0&lt;/td&gt;&lt;td&gt;0&lt;/td&gt;&lt;td&gt;855.3048&lt;/td&gt;&lt;td&gt;527.6952&lt;/td&gt;&lt;td&gt;105.53904&lt;/td&gt;&lt;td&gt;61.6967424946054&lt;/td&gt;&lt;td&gt;3421.2192&lt;/td&gt;&lt;/tr&gt;</v>
      </c>
    </row>
    <row r="240" spans="1:26" x14ac:dyDescent="0.3">
      <c r="A240" s="1" t="s">
        <v>13</v>
      </c>
      <c r="B240">
        <v>3006265</v>
      </c>
      <c r="C240" s="1" t="s">
        <v>14</v>
      </c>
      <c r="D240" t="s">
        <v>337</v>
      </c>
      <c r="E240" s="1" t="s">
        <v>14</v>
      </c>
      <c r="F240">
        <v>5336</v>
      </c>
      <c r="G240" s="1" t="s">
        <v>14</v>
      </c>
      <c r="H240">
        <v>4941.1359999999995</v>
      </c>
      <c r="I240" s="1" t="s">
        <v>14</v>
      </c>
      <c r="J240">
        <v>75</v>
      </c>
      <c r="K240" s="1" t="s">
        <v>14</v>
      </c>
      <c r="L240">
        <v>0</v>
      </c>
      <c r="M240" s="1" t="s">
        <v>14</v>
      </c>
      <c r="N240">
        <v>0</v>
      </c>
      <c r="O240" s="1" t="s">
        <v>14</v>
      </c>
      <c r="P240">
        <v>3171.1359999999991</v>
      </c>
      <c r="Q240" s="1" t="s">
        <v>14</v>
      </c>
      <c r="R240">
        <v>2164.8640000000009</v>
      </c>
      <c r="S240" s="1" t="s">
        <v>14</v>
      </c>
      <c r="T240">
        <v>108.24320000000006</v>
      </c>
      <c r="U240" s="1" t="s">
        <v>14</v>
      </c>
      <c r="V240">
        <v>68.267775333508297</v>
      </c>
      <c r="W240" s="1" t="s">
        <v>14</v>
      </c>
      <c r="X240">
        <v>3171.1360000000013</v>
      </c>
      <c r="Y240" s="1" t="s">
        <v>12</v>
      </c>
      <c r="Z240" s="1" t="str">
        <f t="shared" si="3"/>
        <v>&lt;tr&gt; &lt;td&gt;3006265&lt;/td&gt;&lt;td&gt;SERVOSYSTEM 68-20L BUC&lt;/td&gt;&lt;td&gt;5336&lt;/td&gt;&lt;td&gt;4941.136&lt;/td&gt;&lt;td&gt;75&lt;/td&gt;&lt;td&gt;0&lt;/td&gt;&lt;td&gt;0&lt;/td&gt;&lt;td&gt;3171.136&lt;/td&gt;&lt;td&gt;2164.864&lt;/td&gt;&lt;td&gt;108.2432&lt;/td&gt;&lt;td&gt;68.2677753335083&lt;/td&gt;&lt;td&gt;3171.136&lt;/td&gt;&lt;/tr&gt;</v>
      </c>
    </row>
    <row r="241" spans="1:26" x14ac:dyDescent="0.3">
      <c r="A241" s="1" t="s">
        <v>13</v>
      </c>
      <c r="B241">
        <v>3020265</v>
      </c>
      <c r="C241" s="1" t="s">
        <v>14</v>
      </c>
      <c r="D241" t="s">
        <v>338</v>
      </c>
      <c r="E241" s="1" t="s">
        <v>14</v>
      </c>
      <c r="F241">
        <v>5153</v>
      </c>
      <c r="G241" s="1" t="s">
        <v>14</v>
      </c>
      <c r="H241">
        <v>4770.6473999999998</v>
      </c>
      <c r="I241" s="1" t="s">
        <v>14</v>
      </c>
      <c r="J241">
        <v>19</v>
      </c>
      <c r="K241" s="1" t="s">
        <v>14</v>
      </c>
      <c r="L241">
        <v>0</v>
      </c>
      <c r="M241" s="1" t="s">
        <v>14</v>
      </c>
      <c r="N241">
        <v>0</v>
      </c>
      <c r="O241" s="1" t="s">
        <v>14</v>
      </c>
      <c r="P241">
        <v>4322.2473999999993</v>
      </c>
      <c r="Q241" s="1" t="s">
        <v>14</v>
      </c>
      <c r="R241">
        <v>830.75260000000071</v>
      </c>
      <c r="S241" s="1" t="s">
        <v>14</v>
      </c>
      <c r="T241">
        <v>41.537630000000007</v>
      </c>
      <c r="U241" s="1" t="s">
        <v>14</v>
      </c>
      <c r="V241">
        <v>19.220385209786947</v>
      </c>
      <c r="W241" s="1" t="s">
        <v>14</v>
      </c>
      <c r="X241">
        <v>4322.247400000002</v>
      </c>
      <c r="Y241" s="1" t="s">
        <v>12</v>
      </c>
      <c r="Z241" s="1" t="str">
        <f t="shared" si="3"/>
        <v>&lt;tr&gt; &lt;td&gt;3020265&lt;/td&gt;&lt;td&gt;SERVOSYSTEM 220-20 L&lt;/td&gt;&lt;td&gt;5153&lt;/td&gt;&lt;td&gt;4770.6474&lt;/td&gt;&lt;td&gt;19&lt;/td&gt;&lt;td&gt;0&lt;/td&gt;&lt;td&gt;0&lt;/td&gt;&lt;td&gt;4322.2474&lt;/td&gt;&lt;td&gt;830.752600000001&lt;/td&gt;&lt;td&gt;41.53763&lt;/td&gt;&lt;td&gt;19.2203852097869&lt;/td&gt;&lt;td&gt;4322.2474&lt;/td&gt;&lt;/tr&gt;</v>
      </c>
    </row>
    <row r="242" spans="1:26" x14ac:dyDescent="0.3">
      <c r="A242" s="1" t="s">
        <v>13</v>
      </c>
      <c r="B242">
        <v>3614265</v>
      </c>
      <c r="C242" s="1" t="s">
        <v>14</v>
      </c>
      <c r="D242" t="s">
        <v>339</v>
      </c>
      <c r="E242" s="1" t="s">
        <v>14</v>
      </c>
      <c r="F242">
        <v>5685</v>
      </c>
      <c r="G242" s="1" t="s">
        <v>14</v>
      </c>
      <c r="H242">
        <v>5264.31</v>
      </c>
      <c r="I242" s="1" t="s">
        <v>14</v>
      </c>
      <c r="J242">
        <v>44</v>
      </c>
      <c r="K242" s="1" t="s">
        <v>14</v>
      </c>
      <c r="L242">
        <v>0</v>
      </c>
      <c r="M242" s="1" t="s">
        <v>14</v>
      </c>
      <c r="N242">
        <v>0</v>
      </c>
      <c r="O242" s="1" t="s">
        <v>14</v>
      </c>
      <c r="P242">
        <v>4225.9100000000008</v>
      </c>
      <c r="Q242" s="1" t="s">
        <v>14</v>
      </c>
      <c r="R242">
        <v>1459.0899999999992</v>
      </c>
      <c r="S242" s="1" t="s">
        <v>14</v>
      </c>
      <c r="T242">
        <v>72.954499999999967</v>
      </c>
      <c r="U242" s="1" t="s">
        <v>14</v>
      </c>
      <c r="V242">
        <v>34.52723792035323</v>
      </c>
      <c r="W242" s="1" t="s">
        <v>14</v>
      </c>
      <c r="X242">
        <v>4225.9100000000035</v>
      </c>
      <c r="Y242" s="1" t="s">
        <v>12</v>
      </c>
      <c r="Z242" s="1" t="str">
        <f t="shared" si="3"/>
        <v>&lt;tr&gt; &lt;td&gt;3614265&lt;/td&gt;&lt;td&gt;SERVOMESH SP 320-20 L&lt;/td&gt;&lt;td&gt;5685&lt;/td&gt;&lt;td&gt;5264.31&lt;/td&gt;&lt;td&gt;44&lt;/td&gt;&lt;td&gt;0&lt;/td&gt;&lt;td&gt;0&lt;/td&gt;&lt;td&gt;4225.91&lt;/td&gt;&lt;td&gt;1459.09&lt;/td&gt;&lt;td&gt;72.9545&lt;/td&gt;&lt;td&gt;34.5272379203532&lt;/td&gt;&lt;td&gt;4225.91&lt;/td&gt;&lt;/tr&gt;</v>
      </c>
    </row>
    <row r="243" spans="1:26" x14ac:dyDescent="0.3">
      <c r="A243" s="1" t="s">
        <v>13</v>
      </c>
      <c r="B243">
        <v>3617265</v>
      </c>
      <c r="C243" s="1" t="s">
        <v>14</v>
      </c>
      <c r="D243" t="s">
        <v>340</v>
      </c>
      <c r="E243" s="1" t="s">
        <v>14</v>
      </c>
      <c r="F243">
        <v>5483</v>
      </c>
      <c r="G243" s="1" t="s">
        <v>14</v>
      </c>
      <c r="H243">
        <v>5076.7097000000003</v>
      </c>
      <c r="I243" s="1" t="s">
        <v>14</v>
      </c>
      <c r="J243">
        <v>31</v>
      </c>
      <c r="K243" s="1" t="s">
        <v>14</v>
      </c>
      <c r="L243">
        <v>0</v>
      </c>
      <c r="M243" s="1" t="s">
        <v>14</v>
      </c>
      <c r="N243">
        <v>0</v>
      </c>
      <c r="O243" s="1" t="s">
        <v>14</v>
      </c>
      <c r="P243">
        <v>4345.1097000000009</v>
      </c>
      <c r="Q243" s="1" t="s">
        <v>14</v>
      </c>
      <c r="R243">
        <v>1137.8902999999991</v>
      </c>
      <c r="S243" s="1" t="s">
        <v>14</v>
      </c>
      <c r="T243">
        <v>56.894514999999927</v>
      </c>
      <c r="U243" s="1" t="s">
        <v>14</v>
      </c>
      <c r="V243">
        <v>26.187838249515288</v>
      </c>
      <c r="W243" s="1" t="s">
        <v>14</v>
      </c>
      <c r="X243">
        <v>4345.1097000000036</v>
      </c>
      <c r="Y243" s="1" t="s">
        <v>12</v>
      </c>
      <c r="Z243" s="1" t="str">
        <f t="shared" si="3"/>
        <v>&lt;tr&gt; &lt;td&gt;3617265&lt;/td&gt;&lt;td&gt;SERVOMESH SP 220-20 L&lt;/td&gt;&lt;td&gt;5483&lt;/td&gt;&lt;td&gt;5076.7097&lt;/td&gt;&lt;td&gt;31&lt;/td&gt;&lt;td&gt;0&lt;/td&gt;&lt;td&gt;0&lt;/td&gt;&lt;td&gt;4345.1097&lt;/td&gt;&lt;td&gt;1137.8903&lt;/td&gt;&lt;td&gt;56.8945149999999&lt;/td&gt;&lt;td&gt;26.1878382495153&lt;/td&gt;&lt;td&gt;4345.1097&lt;/td&gt;&lt;/tr&gt;</v>
      </c>
    </row>
    <row r="244" spans="1:26" x14ac:dyDescent="0.3">
      <c r="A244" s="1" t="s">
        <v>13</v>
      </c>
      <c r="B244">
        <v>3040265</v>
      </c>
      <c r="C244" s="1" t="s">
        <v>14</v>
      </c>
      <c r="D244" t="s">
        <v>341</v>
      </c>
      <c r="E244" s="1" t="s">
        <v>14</v>
      </c>
      <c r="F244">
        <v>4575</v>
      </c>
      <c r="G244" s="1" t="s">
        <v>14</v>
      </c>
      <c r="H244">
        <v>3422.1</v>
      </c>
      <c r="I244" s="1" t="s">
        <v>14</v>
      </c>
      <c r="J244">
        <v>34</v>
      </c>
      <c r="K244" s="1" t="s">
        <v>14</v>
      </c>
      <c r="L244">
        <v>0</v>
      </c>
      <c r="M244" s="1" t="s">
        <v>14</v>
      </c>
      <c r="N244">
        <v>0</v>
      </c>
      <c r="O244" s="1" t="s">
        <v>14</v>
      </c>
      <c r="P244">
        <v>2619.6999999999998</v>
      </c>
      <c r="Q244" s="1" t="s">
        <v>14</v>
      </c>
      <c r="R244">
        <v>1955.3000000000002</v>
      </c>
      <c r="S244" s="1" t="s">
        <v>14</v>
      </c>
      <c r="T244">
        <v>97.765000000000015</v>
      </c>
      <c r="U244" s="1" t="s">
        <v>14</v>
      </c>
      <c r="V244">
        <v>74.638317364583742</v>
      </c>
      <c r="W244" s="1" t="s">
        <v>14</v>
      </c>
      <c r="X244">
        <v>2619.7000000000016</v>
      </c>
      <c r="Y244" s="1" t="s">
        <v>12</v>
      </c>
      <c r="Z244" s="1" t="str">
        <f t="shared" si="3"/>
        <v>&lt;tr&gt; &lt;td&gt;3040265&lt;/td&gt;&lt;td&gt;SERVOHYDRASHAKTI 68-20 L&lt;/td&gt;&lt;td&gt;4575&lt;/td&gt;&lt;td&gt;3422.1&lt;/td&gt;&lt;td&gt;34&lt;/td&gt;&lt;td&gt;0&lt;/td&gt;&lt;td&gt;0&lt;/td&gt;&lt;td&gt;2619.7&lt;/td&gt;&lt;td&gt;1955.3&lt;/td&gt;&lt;td&gt;97.765&lt;/td&gt;&lt;td&gt;74.6383173645837&lt;/td&gt;&lt;td&gt;2619.7&lt;/td&gt;&lt;/tr&gt;</v>
      </c>
    </row>
    <row r="245" spans="1:26" x14ac:dyDescent="0.3">
      <c r="A245" s="1" t="s">
        <v>13</v>
      </c>
      <c r="B245">
        <v>3057265</v>
      </c>
      <c r="C245" s="1" t="s">
        <v>14</v>
      </c>
      <c r="D245" t="s">
        <v>342</v>
      </c>
      <c r="E245" s="1" t="s">
        <v>14</v>
      </c>
      <c r="F245">
        <v>6704</v>
      </c>
      <c r="G245" s="1" t="s">
        <v>14</v>
      </c>
      <c r="H245">
        <v>5587.1135999999997</v>
      </c>
      <c r="I245" s="1" t="s">
        <v>14</v>
      </c>
      <c r="J245">
        <v>0</v>
      </c>
      <c r="K245" s="1" t="s">
        <v>14</v>
      </c>
      <c r="L245">
        <v>0</v>
      </c>
      <c r="M245" s="1" t="s">
        <v>14</v>
      </c>
      <c r="N245">
        <v>0</v>
      </c>
      <c r="O245" s="1" t="s">
        <v>14</v>
      </c>
      <c r="P245">
        <v>5587.1135999999997</v>
      </c>
      <c r="Q245" s="1" t="s">
        <v>14</v>
      </c>
      <c r="R245">
        <v>1116.8864000000003</v>
      </c>
      <c r="S245" s="1" t="s">
        <v>14</v>
      </c>
      <c r="T245">
        <v>55.844319999999982</v>
      </c>
      <c r="U245" s="1" t="s">
        <v>14</v>
      </c>
      <c r="V245">
        <v>19.990400767938571</v>
      </c>
      <c r="W245" s="1" t="s">
        <v>14</v>
      </c>
      <c r="X245">
        <v>5587.1136000000033</v>
      </c>
      <c r="Y245" s="1" t="s">
        <v>12</v>
      </c>
      <c r="Z245" s="1" t="str">
        <f t="shared" si="3"/>
        <v>&lt;tr&gt; &lt;td&gt;3057265&lt;/td&gt;&lt;td&gt;SERVO EXCAVATOR TH 46 20 L&lt;/td&gt;&lt;td&gt;6704&lt;/td&gt;&lt;td&gt;5587.1136&lt;/td&gt;&lt;td&gt;0&lt;/td&gt;&lt;td&gt;0&lt;/td&gt;&lt;td&gt;0&lt;/td&gt;&lt;td&gt;5587.1136&lt;/td&gt;&lt;td&gt;1116.8864&lt;/td&gt;&lt;td&gt;55.84432&lt;/td&gt;&lt;td&gt;19.9904007679386&lt;/td&gt;&lt;td&gt;5587.1136&lt;/td&gt;&lt;/tr&gt;</v>
      </c>
    </row>
    <row r="246" spans="1:26" x14ac:dyDescent="0.3">
      <c r="A246" s="1" t="s">
        <v>13</v>
      </c>
      <c r="B246">
        <v>3059265</v>
      </c>
      <c r="C246" s="1" t="s">
        <v>14</v>
      </c>
      <c r="D246" t="s">
        <v>343</v>
      </c>
      <c r="E246" s="1" t="s">
        <v>14</v>
      </c>
      <c r="F246">
        <v>7303</v>
      </c>
      <c r="G246" s="1" t="s">
        <v>14</v>
      </c>
      <c r="H246">
        <v>6085.5898999999999</v>
      </c>
      <c r="I246" s="1" t="s">
        <v>14</v>
      </c>
      <c r="J246">
        <v>53</v>
      </c>
      <c r="K246" s="1" t="s">
        <v>14</v>
      </c>
      <c r="L246">
        <v>0</v>
      </c>
      <c r="M246" s="1" t="s">
        <v>14</v>
      </c>
      <c r="N246">
        <v>0</v>
      </c>
      <c r="O246" s="1" t="s">
        <v>14</v>
      </c>
      <c r="P246">
        <v>4834.7898999999998</v>
      </c>
      <c r="Q246" s="1" t="s">
        <v>14</v>
      </c>
      <c r="R246">
        <v>2468.2101000000002</v>
      </c>
      <c r="S246" s="1" t="s">
        <v>14</v>
      </c>
      <c r="T246">
        <v>123.410505</v>
      </c>
      <c r="U246" s="1" t="s">
        <v>14</v>
      </c>
      <c r="V246">
        <v>51.051031193723652</v>
      </c>
      <c r="W246" s="1" t="s">
        <v>14</v>
      </c>
      <c r="X246">
        <v>4834.7899000000034</v>
      </c>
      <c r="Y246" s="1" t="s">
        <v>12</v>
      </c>
      <c r="Z246" s="1" t="str">
        <f t="shared" si="3"/>
        <v>&lt;tr&gt; &lt;td&gt;3059265&lt;/td&gt;&lt;td&gt;SERVOHYDREX TH 46 PLUS-20 L&lt;/td&gt;&lt;td&gt;7303&lt;/td&gt;&lt;td&gt;6085.5899&lt;/td&gt;&lt;td&gt;53&lt;/td&gt;&lt;td&gt;0&lt;/td&gt;&lt;td&gt;0&lt;/td&gt;&lt;td&gt;4834.7899&lt;/td&gt;&lt;td&gt;2468.2101&lt;/td&gt;&lt;td&gt;123.410505&lt;/td&gt;&lt;td&gt;51.0510311937237&lt;/td&gt;&lt;td&gt;4834.7899&lt;/td&gt;&lt;/tr&gt;</v>
      </c>
    </row>
    <row r="247" spans="1:26" x14ac:dyDescent="0.3">
      <c r="A247" s="1" t="s">
        <v>13</v>
      </c>
      <c r="B247">
        <v>3064265</v>
      </c>
      <c r="C247" s="1" t="s">
        <v>14</v>
      </c>
      <c r="D247" t="s">
        <v>344</v>
      </c>
      <c r="E247" s="1" t="s">
        <v>14</v>
      </c>
      <c r="F247">
        <v>5892</v>
      </c>
      <c r="G247" s="1" t="s">
        <v>14</v>
      </c>
      <c r="H247">
        <v>5455.4027999999998</v>
      </c>
      <c r="I247" s="1" t="s">
        <v>14</v>
      </c>
      <c r="J247">
        <v>2</v>
      </c>
      <c r="K247" s="1" t="s">
        <v>14</v>
      </c>
      <c r="L247">
        <v>0</v>
      </c>
      <c r="M247" s="1" t="s">
        <v>14</v>
      </c>
      <c r="N247">
        <v>0</v>
      </c>
      <c r="O247" s="1" t="s">
        <v>14</v>
      </c>
      <c r="P247">
        <v>5408.2028</v>
      </c>
      <c r="Q247" s="1" t="s">
        <v>14</v>
      </c>
      <c r="R247">
        <v>483.79719999999998</v>
      </c>
      <c r="S247" s="1" t="s">
        <v>14</v>
      </c>
      <c r="T247">
        <v>24.18986000000001</v>
      </c>
      <c r="U247" s="1" t="s">
        <v>14</v>
      </c>
      <c r="V247">
        <v>8.9456186813112843</v>
      </c>
      <c r="W247" s="1" t="s">
        <v>14</v>
      </c>
      <c r="X247">
        <v>5408.2028000000037</v>
      </c>
      <c r="Y247" s="1" t="s">
        <v>12</v>
      </c>
      <c r="Z247" s="1" t="str">
        <f t="shared" si="3"/>
        <v>&lt;tr&gt; &lt;td&gt;3064265&lt;/td&gt;&lt;td&gt;SERVOHYDREX TH 46-20L BUC&lt;/td&gt;&lt;td&gt;5892&lt;/td&gt;&lt;td&gt;5455.4028&lt;/td&gt;&lt;td&gt;2&lt;/td&gt;&lt;td&gt;0&lt;/td&gt;&lt;td&gt;0&lt;/td&gt;&lt;td&gt;5408.2028&lt;/td&gt;&lt;td&gt;483.7972&lt;/td&gt;&lt;td&gt;24.18986&lt;/td&gt;&lt;td&gt;8.94561868131128&lt;/td&gt;&lt;td&gt;5408.2028&lt;/td&gt;&lt;/tr&gt;</v>
      </c>
    </row>
    <row r="248" spans="1:26" x14ac:dyDescent="0.3">
      <c r="A248" s="1" t="s">
        <v>13</v>
      </c>
      <c r="B248">
        <v>3084265</v>
      </c>
      <c r="C248" s="1" t="s">
        <v>14</v>
      </c>
      <c r="D248" t="s">
        <v>345</v>
      </c>
      <c r="E248" s="1" t="s">
        <v>14</v>
      </c>
      <c r="F248">
        <v>5478</v>
      </c>
      <c r="G248" s="1" t="s">
        <v>14</v>
      </c>
      <c r="H248">
        <v>5072.6279999999997</v>
      </c>
      <c r="I248" s="1" t="s">
        <v>14</v>
      </c>
      <c r="J248">
        <v>64</v>
      </c>
      <c r="K248" s="1" t="s">
        <v>14</v>
      </c>
      <c r="L248">
        <v>0</v>
      </c>
      <c r="M248" s="1" t="s">
        <v>14</v>
      </c>
      <c r="N248">
        <v>0</v>
      </c>
      <c r="O248" s="1" t="s">
        <v>14</v>
      </c>
      <c r="P248">
        <v>3562.2280000000001</v>
      </c>
      <c r="Q248" s="1" t="s">
        <v>14</v>
      </c>
      <c r="R248">
        <v>1915.7719999999999</v>
      </c>
      <c r="S248" s="1" t="s">
        <v>14</v>
      </c>
      <c r="T248">
        <v>95.788599999999974</v>
      </c>
      <c r="U248" s="1" t="s">
        <v>14</v>
      </c>
      <c r="V248">
        <v>53.780162302918285</v>
      </c>
      <c r="W248" s="1" t="s">
        <v>14</v>
      </c>
      <c r="X248">
        <v>3562.2280000000023</v>
      </c>
      <c r="Y248" s="1" t="s">
        <v>12</v>
      </c>
      <c r="Z248" s="1" t="str">
        <f t="shared" si="3"/>
        <v>&lt;tr&gt; &lt;td&gt;3084265&lt;/td&gt;&lt;td&gt;SERVOSYSTEM HLP 68-20L BUC&lt;/td&gt;&lt;td&gt;5478&lt;/td&gt;&lt;td&gt;5072.628&lt;/td&gt;&lt;td&gt;64&lt;/td&gt;&lt;td&gt;0&lt;/td&gt;&lt;td&gt;0&lt;/td&gt;&lt;td&gt;3562.228&lt;/td&gt;&lt;td&gt;1915.772&lt;/td&gt;&lt;td&gt;95.7886&lt;/td&gt;&lt;td&gt;53.7801623029183&lt;/td&gt;&lt;td&gt;3562.228&lt;/td&gt;&lt;/tr&gt;</v>
      </c>
    </row>
    <row r="249" spans="1:26" x14ac:dyDescent="0.3">
      <c r="A249" s="1" t="s">
        <v>13</v>
      </c>
      <c r="B249">
        <v>4501265</v>
      </c>
      <c r="C249" s="1" t="s">
        <v>14</v>
      </c>
      <c r="D249" t="s">
        <v>346</v>
      </c>
      <c r="E249" s="1" t="s">
        <v>14</v>
      </c>
      <c r="F249">
        <v>5198</v>
      </c>
      <c r="G249" s="1" t="s">
        <v>14</v>
      </c>
      <c r="H249">
        <v>4725.5018</v>
      </c>
      <c r="I249" s="1" t="s">
        <v>14</v>
      </c>
      <c r="J249">
        <v>53</v>
      </c>
      <c r="K249" s="1" t="s">
        <v>14</v>
      </c>
      <c r="L249">
        <v>0</v>
      </c>
      <c r="M249" s="1" t="s">
        <v>14</v>
      </c>
      <c r="N249">
        <v>0</v>
      </c>
      <c r="O249" s="1" t="s">
        <v>14</v>
      </c>
      <c r="P249">
        <v>3474.7017999999998</v>
      </c>
      <c r="Q249" s="1" t="s">
        <v>14</v>
      </c>
      <c r="R249">
        <v>1723.2982000000002</v>
      </c>
      <c r="S249" s="1" t="s">
        <v>14</v>
      </c>
      <c r="T249">
        <v>86.164909999999992</v>
      </c>
      <c r="U249" s="1" t="s">
        <v>14</v>
      </c>
      <c r="V249">
        <v>49.595571050154582</v>
      </c>
      <c r="W249" s="1" t="s">
        <v>14</v>
      </c>
      <c r="X249">
        <v>3474.7018000000021</v>
      </c>
      <c r="Y249" s="1" t="s">
        <v>12</v>
      </c>
      <c r="Z249" s="1" t="str">
        <f t="shared" si="3"/>
        <v>&lt;tr&gt; &lt;td&gt;4501265&lt;/td&gt;&lt;td&gt;SERVOCUT S - 20L BUC&lt;/td&gt;&lt;td&gt;5198&lt;/td&gt;&lt;td&gt;4725.5018&lt;/td&gt;&lt;td&gt;53&lt;/td&gt;&lt;td&gt;0&lt;/td&gt;&lt;td&gt;0&lt;/td&gt;&lt;td&gt;3474.7018&lt;/td&gt;&lt;td&gt;1723.2982&lt;/td&gt;&lt;td&gt;86.16491&lt;/td&gt;&lt;td&gt;49.5955710501546&lt;/td&gt;&lt;td&gt;3474.7018&lt;/td&gt;&lt;/tr&gt;</v>
      </c>
    </row>
    <row r="250" spans="1:26" x14ac:dyDescent="0.3">
      <c r="A250" s="1" t="s">
        <v>13</v>
      </c>
      <c r="B250">
        <v>7403265</v>
      </c>
      <c r="C250" s="1" t="s">
        <v>14</v>
      </c>
      <c r="D250" t="s">
        <v>347</v>
      </c>
      <c r="E250" s="1" t="s">
        <v>14</v>
      </c>
      <c r="F250">
        <v>4029</v>
      </c>
      <c r="G250" s="1" t="s">
        <v>14</v>
      </c>
      <c r="H250">
        <v>3730.8539999999998</v>
      </c>
      <c r="I250" s="1" t="s">
        <v>14</v>
      </c>
      <c r="J250">
        <v>0</v>
      </c>
      <c r="K250" s="1" t="s">
        <v>14</v>
      </c>
      <c r="L250">
        <v>0</v>
      </c>
      <c r="M250" s="1" t="s">
        <v>14</v>
      </c>
      <c r="N250">
        <v>0</v>
      </c>
      <c r="O250" s="1" t="s">
        <v>14</v>
      </c>
      <c r="P250">
        <v>3730.8539999999998</v>
      </c>
      <c r="Q250" s="1" t="s">
        <v>14</v>
      </c>
      <c r="R250">
        <v>298.14600000000019</v>
      </c>
      <c r="S250" s="1" t="s">
        <v>14</v>
      </c>
      <c r="T250">
        <v>14.907299999999992</v>
      </c>
      <c r="U250" s="1" t="s">
        <v>14</v>
      </c>
      <c r="V250">
        <v>7.9913606911447141</v>
      </c>
      <c r="W250" s="1" t="s">
        <v>14</v>
      </c>
      <c r="X250">
        <v>3730.8540000000021</v>
      </c>
      <c r="Y250" s="1" t="s">
        <v>12</v>
      </c>
      <c r="Z250" s="1" t="str">
        <f t="shared" si="3"/>
        <v>&lt;tr&gt; &lt;td&gt;7403265&lt;/td&gt;&lt;td&gt;SERVOELECTRA-20 L&lt;/td&gt;&lt;td&gt;4029&lt;/td&gt;&lt;td&gt;3730.854&lt;/td&gt;&lt;td&gt;0&lt;/td&gt;&lt;td&gt;0&lt;/td&gt;&lt;td&gt;0&lt;/td&gt;&lt;td&gt;3730.854&lt;/td&gt;&lt;td&gt;298.146&lt;/td&gt;&lt;td&gt;14.9073&lt;/td&gt;&lt;td&gt;7.99136069114471&lt;/td&gt;&lt;td&gt;3730.854&lt;/td&gt;&lt;/tr&gt;</v>
      </c>
    </row>
    <row r="251" spans="1:26" x14ac:dyDescent="0.3">
      <c r="A251" s="1" t="s">
        <v>13</v>
      </c>
      <c r="B251">
        <v>3077184</v>
      </c>
      <c r="C251" s="1" t="s">
        <v>14</v>
      </c>
      <c r="D251" t="s">
        <v>348</v>
      </c>
      <c r="E251" s="1" t="s">
        <v>14</v>
      </c>
      <c r="F251">
        <v>375</v>
      </c>
      <c r="G251" s="1" t="s">
        <v>14</v>
      </c>
      <c r="H251">
        <v>334.72500000000002</v>
      </c>
      <c r="I251" s="1" t="s">
        <v>14</v>
      </c>
      <c r="J251">
        <v>0</v>
      </c>
      <c r="K251" s="1" t="s">
        <v>14</v>
      </c>
      <c r="L251">
        <v>0</v>
      </c>
      <c r="M251" s="1" t="s">
        <v>14</v>
      </c>
      <c r="N251">
        <v>0</v>
      </c>
      <c r="O251" s="1" t="s">
        <v>14</v>
      </c>
      <c r="P251">
        <v>334.72500000000008</v>
      </c>
      <c r="Q251" s="1" t="s">
        <v>14</v>
      </c>
      <c r="R251">
        <v>40.27499999999992</v>
      </c>
      <c r="S251" s="1" t="s">
        <v>14</v>
      </c>
      <c r="T251">
        <v>40.27499999999992</v>
      </c>
      <c r="U251" s="1" t="s">
        <v>14</v>
      </c>
      <c r="V251">
        <v>12.032265292404185</v>
      </c>
      <c r="W251" s="1" t="s">
        <v>14</v>
      </c>
      <c r="X251">
        <v>6694.5000000000064</v>
      </c>
      <c r="Y251" s="1" t="s">
        <v>12</v>
      </c>
      <c r="Z251" s="1" t="str">
        <f t="shared" si="3"/>
        <v>&lt;tr&gt; &lt;td&gt;3077184&lt;/td&gt;&lt;td&gt;MAHINDRA EM BRAKEFLUID-20 X 1 L&lt;/td&gt;&lt;td&gt;375&lt;/td&gt;&lt;td&gt;334.725&lt;/td&gt;&lt;td&gt;0&lt;/td&gt;&lt;td&gt;0&lt;/td&gt;&lt;td&gt;0&lt;/td&gt;&lt;td&gt;334.725&lt;/td&gt;&lt;td&gt;40.2749999999999&lt;/td&gt;&lt;td&gt;40.2749999999999&lt;/td&gt;&lt;td&gt;12.0322652924042&lt;/td&gt;&lt;td&gt;6694.50000000001&lt;/td&gt;&lt;/tr&gt;</v>
      </c>
    </row>
    <row r="252" spans="1:26" x14ac:dyDescent="0.3">
      <c r="A252" s="1" t="s">
        <v>13</v>
      </c>
      <c r="B252">
        <v>3060265</v>
      </c>
      <c r="C252" s="1" t="s">
        <v>14</v>
      </c>
      <c r="D252" t="s">
        <v>349</v>
      </c>
      <c r="E252" s="1" t="s">
        <v>14</v>
      </c>
      <c r="F252">
        <v>7300</v>
      </c>
      <c r="G252" s="1" t="s">
        <v>14</v>
      </c>
      <c r="H252">
        <v>6515.98</v>
      </c>
      <c r="I252" s="1" t="s">
        <v>14</v>
      </c>
      <c r="J252">
        <v>0</v>
      </c>
      <c r="K252" s="1" t="s">
        <v>14</v>
      </c>
      <c r="L252">
        <v>0</v>
      </c>
      <c r="M252" s="1" t="s">
        <v>14</v>
      </c>
      <c r="N252">
        <v>0</v>
      </c>
      <c r="O252" s="1" t="s">
        <v>14</v>
      </c>
      <c r="P252">
        <v>6515.98</v>
      </c>
      <c r="Q252" s="1" t="s">
        <v>14</v>
      </c>
      <c r="R252">
        <v>784.02000000000044</v>
      </c>
      <c r="S252" s="1" t="s">
        <v>14</v>
      </c>
      <c r="T252">
        <v>39.201000000000022</v>
      </c>
      <c r="U252" s="1" t="s">
        <v>14</v>
      </c>
      <c r="V252">
        <v>12.032265292404221</v>
      </c>
      <c r="W252" s="1" t="s">
        <v>14</v>
      </c>
      <c r="X252">
        <v>6515.9800000000041</v>
      </c>
      <c r="Y252" s="1" t="s">
        <v>12</v>
      </c>
      <c r="Z252" s="1" t="str">
        <f t="shared" si="3"/>
        <v>&lt;tr&gt; &lt;td&gt;3060265&lt;/td&gt;&lt;td&gt;MAHINDRA EM HYDRAULIC OIL-20 L&lt;/td&gt;&lt;td&gt;7300&lt;/td&gt;&lt;td&gt;6515.98&lt;/td&gt;&lt;td&gt;0&lt;/td&gt;&lt;td&gt;0&lt;/td&gt;&lt;td&gt;0&lt;/td&gt;&lt;td&gt;6515.98&lt;/td&gt;&lt;td&gt;784.02&lt;/td&gt;&lt;td&gt;39.201&lt;/td&gt;&lt;td&gt;12.0322652924042&lt;/td&gt;&lt;td&gt;6515.98&lt;/td&gt;&lt;/tr&gt;</v>
      </c>
    </row>
    <row r="253" spans="1:26" x14ac:dyDescent="0.3">
      <c r="A253" s="1" t="s">
        <v>13</v>
      </c>
      <c r="B253">
        <v>4929242</v>
      </c>
      <c r="C253" s="1" t="s">
        <v>14</v>
      </c>
      <c r="D253" t="s">
        <v>350</v>
      </c>
      <c r="E253" s="1" t="s">
        <v>14</v>
      </c>
      <c r="F253">
        <v>4400</v>
      </c>
      <c r="G253" s="1" t="s">
        <v>14</v>
      </c>
      <c r="H253">
        <v>3927.44</v>
      </c>
      <c r="I253" s="1" t="s">
        <v>14</v>
      </c>
      <c r="J253">
        <v>0</v>
      </c>
      <c r="K253" s="1" t="s">
        <v>14</v>
      </c>
      <c r="L253">
        <v>0</v>
      </c>
      <c r="M253" s="1" t="s">
        <v>14</v>
      </c>
      <c r="N253">
        <v>0</v>
      </c>
      <c r="O253" s="1" t="s">
        <v>14</v>
      </c>
      <c r="P253">
        <v>3927.44</v>
      </c>
      <c r="Q253" s="1" t="s">
        <v>14</v>
      </c>
      <c r="R253">
        <v>472.55999999999995</v>
      </c>
      <c r="S253" s="1" t="s">
        <v>14</v>
      </c>
      <c r="T253">
        <v>47.255999999999972</v>
      </c>
      <c r="U253" s="1" t="s">
        <v>14</v>
      </c>
      <c r="V253">
        <v>12.032265292404212</v>
      </c>
      <c r="W253" s="1" t="s">
        <v>14</v>
      </c>
      <c r="X253">
        <v>3927.4400000000019</v>
      </c>
      <c r="Y253" s="1" t="s">
        <v>12</v>
      </c>
      <c r="Z253" s="1" t="str">
        <f t="shared" si="3"/>
        <v>&lt;tr&gt; &lt;td&gt;4929242&lt;/td&gt;&lt;td&gt;MAHINDRA EM TRNSMISON OIL-10 L&lt;/td&gt;&lt;td&gt;4400&lt;/td&gt;&lt;td&gt;3927.44&lt;/td&gt;&lt;td&gt;0&lt;/td&gt;&lt;td&gt;0&lt;/td&gt;&lt;td&gt;0&lt;/td&gt;&lt;td&gt;3927.44&lt;/td&gt;&lt;td&gt;472.56&lt;/td&gt;&lt;td&gt;47.256&lt;/td&gt;&lt;td&gt;12.0322652924042&lt;/td&gt;&lt;td&gt;3927.44&lt;/td&gt;&lt;/tr&gt;</v>
      </c>
    </row>
    <row r="254" spans="1:26" x14ac:dyDescent="0.3">
      <c r="A254" s="1" t="s">
        <v>13</v>
      </c>
      <c r="B254">
        <v>4929256</v>
      </c>
      <c r="C254" s="1" t="s">
        <v>14</v>
      </c>
      <c r="D254" t="s">
        <v>351</v>
      </c>
      <c r="E254" s="1" t="s">
        <v>14</v>
      </c>
      <c r="F254">
        <v>5985</v>
      </c>
      <c r="G254" s="1" t="s">
        <v>14</v>
      </c>
      <c r="H254">
        <v>5342.2109999999993</v>
      </c>
      <c r="I254" s="1" t="s">
        <v>14</v>
      </c>
      <c r="J254">
        <v>0</v>
      </c>
      <c r="K254" s="1" t="s">
        <v>14</v>
      </c>
      <c r="L254">
        <v>0</v>
      </c>
      <c r="M254" s="1" t="s">
        <v>14</v>
      </c>
      <c r="N254">
        <v>0</v>
      </c>
      <c r="O254" s="1" t="s">
        <v>14</v>
      </c>
      <c r="P254">
        <v>5342.2109999999993</v>
      </c>
      <c r="Q254" s="1" t="s">
        <v>14</v>
      </c>
      <c r="R254">
        <v>642.78900000000067</v>
      </c>
      <c r="S254" s="1" t="s">
        <v>14</v>
      </c>
      <c r="T254">
        <v>42.852600000000052</v>
      </c>
      <c r="U254" s="1" t="s">
        <v>14</v>
      </c>
      <c r="V254">
        <v>12.032265292404226</v>
      </c>
      <c r="W254" s="1" t="s">
        <v>14</v>
      </c>
      <c r="X254">
        <v>5342.211000000003</v>
      </c>
      <c r="Y254" s="1" t="s">
        <v>12</v>
      </c>
      <c r="Z254" s="1" t="str">
        <f t="shared" si="3"/>
        <v>&lt;tr&gt; &lt;td&gt;4929256&lt;/td&gt;&lt;td&gt;MAHINDRA EM TRNSMISON OIL-15 L&lt;/td&gt;&lt;td&gt;5985&lt;/td&gt;&lt;td&gt;5342.211&lt;/td&gt;&lt;td&gt;0&lt;/td&gt;&lt;td&gt;0&lt;/td&gt;&lt;td&gt;0&lt;/td&gt;&lt;td&gt;5342.211&lt;/td&gt;&lt;td&gt;642.789000000001&lt;/td&gt;&lt;td&gt;42.8526000000001&lt;/td&gt;&lt;td&gt;12.0322652924042&lt;/td&gt;&lt;td&gt;5342.211&lt;/td&gt;&lt;/tr&gt;</v>
      </c>
    </row>
    <row r="255" spans="1:26" x14ac:dyDescent="0.3">
      <c r="A255" s="1" t="s">
        <v>13</v>
      </c>
      <c r="B255">
        <v>7886339</v>
      </c>
      <c r="C255" s="1" t="s">
        <v>14</v>
      </c>
      <c r="D255" t="s">
        <v>352</v>
      </c>
      <c r="E255" s="1" t="s">
        <v>14</v>
      </c>
      <c r="F255">
        <v>2175</v>
      </c>
      <c r="G255" s="1" t="s">
        <v>14</v>
      </c>
      <c r="H255">
        <v>1941.405</v>
      </c>
      <c r="I255" s="1" t="s">
        <v>14</v>
      </c>
      <c r="J255">
        <v>0</v>
      </c>
      <c r="K255" s="1" t="s">
        <v>14</v>
      </c>
      <c r="L255">
        <v>0</v>
      </c>
      <c r="M255" s="1" t="s">
        <v>14</v>
      </c>
      <c r="N255">
        <v>0</v>
      </c>
      <c r="O255" s="1" t="s">
        <v>14</v>
      </c>
      <c r="P255">
        <v>1941.405</v>
      </c>
      <c r="Q255" s="1" t="s">
        <v>14</v>
      </c>
      <c r="R255">
        <v>233.59500000000003</v>
      </c>
      <c r="S255" s="1" t="s">
        <v>14</v>
      </c>
      <c r="T255">
        <v>46.718999999999994</v>
      </c>
      <c r="U255" s="1" t="s">
        <v>14</v>
      </c>
      <c r="V255">
        <v>12.032265292404213</v>
      </c>
      <c r="W255" s="1" t="s">
        <v>14</v>
      </c>
      <c r="X255">
        <v>1941.405</v>
      </c>
      <c r="Y255" s="1" t="s">
        <v>12</v>
      </c>
      <c r="Z255" s="1" t="str">
        <f t="shared" si="3"/>
        <v>&lt;tr&gt; &lt;td&gt;7886339&lt;/td&gt;&lt;td&gt;MAHINDRA EM GREASE-5 KG&lt;/td&gt;&lt;td&gt;2175&lt;/td&gt;&lt;td&gt;1941.405&lt;/td&gt;&lt;td&gt;0&lt;/td&gt;&lt;td&gt;0&lt;/td&gt;&lt;td&gt;0&lt;/td&gt;&lt;td&gt;1941.405&lt;/td&gt;&lt;td&gt;233.595&lt;/td&gt;&lt;td&gt;46.719&lt;/td&gt;&lt;td&gt;12.0322652924042&lt;/td&gt;&lt;td&gt;1941.405&lt;/td&gt;&lt;/tr&gt;</v>
      </c>
    </row>
    <row r="256" spans="1:26" x14ac:dyDescent="0.3">
      <c r="A256" s="1" t="s">
        <v>13</v>
      </c>
      <c r="B256">
        <v>7886341</v>
      </c>
      <c r="C256" s="1" t="s">
        <v>14</v>
      </c>
      <c r="D256" t="s">
        <v>353</v>
      </c>
      <c r="E256" s="1" t="s">
        <v>14</v>
      </c>
      <c r="F256">
        <v>8540</v>
      </c>
      <c r="G256" s="1" t="s">
        <v>14</v>
      </c>
      <c r="H256">
        <v>7622.8040000000001</v>
      </c>
      <c r="I256" s="1" t="s">
        <v>14</v>
      </c>
      <c r="J256">
        <v>0</v>
      </c>
      <c r="K256" s="1" t="s">
        <v>14</v>
      </c>
      <c r="L256">
        <v>0</v>
      </c>
      <c r="M256" s="1" t="s">
        <v>14</v>
      </c>
      <c r="N256">
        <v>0</v>
      </c>
      <c r="O256" s="1" t="s">
        <v>14</v>
      </c>
      <c r="P256">
        <v>7622.8040000000001</v>
      </c>
      <c r="Q256" s="1" t="s">
        <v>14</v>
      </c>
      <c r="R256">
        <v>917.19599999999991</v>
      </c>
      <c r="S256" s="1" t="s">
        <v>14</v>
      </c>
      <c r="T256">
        <v>45.859800000000007</v>
      </c>
      <c r="U256" s="1" t="s">
        <v>14</v>
      </c>
      <c r="V256">
        <v>12.032265292404212</v>
      </c>
      <c r="W256" s="1" t="s">
        <v>14</v>
      </c>
      <c r="X256">
        <v>7622.8040000000037</v>
      </c>
      <c r="Y256" s="1" t="s">
        <v>12</v>
      </c>
      <c r="Z256" s="1" t="str">
        <f t="shared" si="3"/>
        <v>&lt;tr&gt; &lt;td&gt;7886341&lt;/td&gt;&lt;td&gt;MAHINDRA EM GREASE-20 KG&lt;/td&gt;&lt;td&gt;8540&lt;/td&gt;&lt;td&gt;7622.804&lt;/td&gt;&lt;td&gt;0&lt;/td&gt;&lt;td&gt;0&lt;/td&gt;&lt;td&gt;0&lt;/td&gt;&lt;td&gt;7622.804&lt;/td&gt;&lt;td&gt;917.196&lt;/td&gt;&lt;td&gt;45.8598&lt;/td&gt;&lt;td&gt;12.0322652924042&lt;/td&gt;&lt;td&gt;7622.804&lt;/td&gt;&lt;/tr&gt;</v>
      </c>
    </row>
    <row r="257" spans="1:26" x14ac:dyDescent="0.3">
      <c r="A257" s="1" t="s">
        <v>13</v>
      </c>
      <c r="B257">
        <v>2485254</v>
      </c>
      <c r="C257" s="1" t="s">
        <v>14</v>
      </c>
      <c r="D257" t="s">
        <v>354</v>
      </c>
      <c r="E257" s="1" t="s">
        <v>14</v>
      </c>
      <c r="F257">
        <v>7965</v>
      </c>
      <c r="G257" s="1" t="s">
        <v>14</v>
      </c>
      <c r="H257">
        <v>7109.5590000000002</v>
      </c>
      <c r="I257" s="1" t="s">
        <v>14</v>
      </c>
      <c r="J257">
        <v>0</v>
      </c>
      <c r="K257" s="1" t="s">
        <v>14</v>
      </c>
      <c r="L257">
        <v>0</v>
      </c>
      <c r="M257" s="1" t="s">
        <v>14</v>
      </c>
      <c r="N257">
        <v>0</v>
      </c>
      <c r="O257" s="1" t="s">
        <v>14</v>
      </c>
      <c r="P257">
        <v>7109.5590000000002</v>
      </c>
      <c r="Q257" s="1" t="s">
        <v>14</v>
      </c>
      <c r="R257">
        <v>855.4409999999998</v>
      </c>
      <c r="S257" s="1" t="s">
        <v>14</v>
      </c>
      <c r="T257">
        <v>47.524499999999989</v>
      </c>
      <c r="U257" s="1" t="s">
        <v>14</v>
      </c>
      <c r="V257">
        <v>12.03226529240421</v>
      </c>
      <c r="W257" s="1" t="s">
        <v>14</v>
      </c>
      <c r="X257">
        <v>7109.5589999999984</v>
      </c>
      <c r="Y257" s="1" t="s">
        <v>12</v>
      </c>
      <c r="Z257" s="1" t="str">
        <f t="shared" si="3"/>
        <v>&lt;tr&gt; &lt;td&gt;2485254&lt;/td&gt;&lt;td&gt;MAHINDRA EM REAR AXLE OIL-18 L&lt;/td&gt;&lt;td&gt;7965&lt;/td&gt;&lt;td&gt;7109.559&lt;/td&gt;&lt;td&gt;0&lt;/td&gt;&lt;td&gt;0&lt;/td&gt;&lt;td&gt;0&lt;/td&gt;&lt;td&gt;7109.559&lt;/td&gt;&lt;td&gt;855.441&lt;/td&gt;&lt;td&gt;47.5245&lt;/td&gt;&lt;td&gt;12.0322652924042&lt;/td&gt;&lt;td&gt;7109.559&lt;/td&gt;&lt;/tr&gt;</v>
      </c>
    </row>
    <row r="258" spans="1:26" x14ac:dyDescent="0.3">
      <c r="A258" s="1" t="s">
        <v>13</v>
      </c>
      <c r="B258">
        <v>7330242</v>
      </c>
      <c r="C258" s="1" t="s">
        <v>14</v>
      </c>
      <c r="D258" t="s">
        <v>355</v>
      </c>
      <c r="E258" s="1" t="s">
        <v>14</v>
      </c>
      <c r="F258">
        <v>670</v>
      </c>
      <c r="G258" s="1" t="s">
        <v>14</v>
      </c>
      <c r="H258">
        <v>586.25</v>
      </c>
      <c r="I258" s="1" t="s">
        <v>14</v>
      </c>
      <c r="J258">
        <v>0</v>
      </c>
      <c r="K258" s="1" t="s">
        <v>14</v>
      </c>
      <c r="L258">
        <v>0</v>
      </c>
      <c r="M258" s="1" t="s">
        <v>14</v>
      </c>
      <c r="N258">
        <v>0</v>
      </c>
      <c r="O258" s="1" t="s">
        <v>14</v>
      </c>
      <c r="P258">
        <v>586.25</v>
      </c>
      <c r="Q258" s="1" t="s">
        <v>14</v>
      </c>
      <c r="R258">
        <v>83.75</v>
      </c>
      <c r="S258" s="1" t="s">
        <v>14</v>
      </c>
      <c r="T258">
        <v>8.375</v>
      </c>
      <c r="U258" s="1" t="s">
        <v>14</v>
      </c>
      <c r="V258">
        <v>14.285714285714285</v>
      </c>
      <c r="W258" s="1" t="s">
        <v>14</v>
      </c>
      <c r="X258">
        <v>586.25000000000023</v>
      </c>
      <c r="Y258" s="1" t="s">
        <v>12</v>
      </c>
      <c r="Z258" s="1" t="str">
        <f t="shared" si="3"/>
        <v>&lt;tr&gt; &lt;td&gt;7330242&lt;/td&gt;&lt;td&gt;IOC CLEARBLUE-10 L&lt;/td&gt;&lt;td&gt;670&lt;/td&gt;&lt;td&gt;586.25&lt;/td&gt;&lt;td&gt;0&lt;/td&gt;&lt;td&gt;0&lt;/td&gt;&lt;td&gt;0&lt;/td&gt;&lt;td&gt;586.25&lt;/td&gt;&lt;td&gt;83.75&lt;/td&gt;&lt;td&gt;8.375&lt;/td&gt;&lt;td&gt;14.2857142857143&lt;/td&gt;&lt;td&gt;586.25&lt;/td&gt;&lt;/tr&gt;</v>
      </c>
    </row>
    <row r="259" spans="1:26" x14ac:dyDescent="0.3">
      <c r="A259" s="1" t="s">
        <v>13</v>
      </c>
      <c r="B259">
        <v>7330265</v>
      </c>
      <c r="C259" s="1" t="s">
        <v>14</v>
      </c>
      <c r="D259" t="s">
        <v>356</v>
      </c>
      <c r="E259" s="1" t="s">
        <v>14</v>
      </c>
      <c r="F259">
        <v>1300</v>
      </c>
      <c r="G259" s="1" t="s">
        <v>14</v>
      </c>
      <c r="H259">
        <v>1137.5</v>
      </c>
      <c r="I259" s="1" t="s">
        <v>14</v>
      </c>
      <c r="J259">
        <v>0</v>
      </c>
      <c r="K259" s="1" t="s">
        <v>14</v>
      </c>
      <c r="L259">
        <v>0</v>
      </c>
      <c r="M259" s="1" t="s">
        <v>14</v>
      </c>
      <c r="N259">
        <v>0</v>
      </c>
      <c r="O259" s="1" t="s">
        <v>14</v>
      </c>
      <c r="P259">
        <v>1137.5</v>
      </c>
      <c r="Q259" s="1" t="s">
        <v>14</v>
      </c>
      <c r="R259">
        <v>162.5</v>
      </c>
      <c r="S259" s="1" t="s">
        <v>14</v>
      </c>
      <c r="T259">
        <v>8.125</v>
      </c>
      <c r="U259" s="1" t="s">
        <v>14</v>
      </c>
      <c r="V259">
        <v>14.285714285714285</v>
      </c>
      <c r="W259" s="1" t="s">
        <v>14</v>
      </c>
      <c r="X259">
        <v>1137.5000000000007</v>
      </c>
      <c r="Y259" s="1" t="s">
        <v>12</v>
      </c>
      <c r="Z259" s="1" t="str">
        <f t="shared" ref="Z259:Z275" si="4">CONCATENATE(A259,B259,C259,D259,E259,F259,G259,H259,I259,J259,K259,L259,M259,N259,O259,P259,Q259,R259,S259,T259,U259,V259,W259,X259,Y259)</f>
        <v>&lt;tr&gt; &lt;td&gt;7330265&lt;/td&gt;&lt;td&gt;IOC CLEARBLUE-20 L&lt;/td&gt;&lt;td&gt;1300&lt;/td&gt;&lt;td&gt;1137.5&lt;/td&gt;&lt;td&gt;0&lt;/td&gt;&lt;td&gt;0&lt;/td&gt;&lt;td&gt;0&lt;/td&gt;&lt;td&gt;1137.5&lt;/td&gt;&lt;td&gt;162.5&lt;/td&gt;&lt;td&gt;8.125&lt;/td&gt;&lt;td&gt;14.2857142857143&lt;/td&gt;&lt;td&gt;1137.5&lt;/td&gt;&lt;/tr&gt;</v>
      </c>
    </row>
    <row r="260" spans="1:26" x14ac:dyDescent="0.3">
      <c r="A260" s="1" t="s">
        <v>13</v>
      </c>
      <c r="B260">
        <v>2874152</v>
      </c>
      <c r="C260" s="1" t="s">
        <v>14</v>
      </c>
      <c r="D260" t="s">
        <v>357</v>
      </c>
      <c r="E260" s="1" t="s">
        <v>14</v>
      </c>
      <c r="F260">
        <v>305</v>
      </c>
      <c r="G260" s="1" t="s">
        <v>14</v>
      </c>
      <c r="H260">
        <v>151.036</v>
      </c>
      <c r="I260" s="1" t="s">
        <v>14</v>
      </c>
      <c r="J260">
        <v>0</v>
      </c>
      <c r="K260" s="1" t="s">
        <v>14</v>
      </c>
      <c r="L260">
        <v>0</v>
      </c>
      <c r="M260" s="1" t="s">
        <v>14</v>
      </c>
      <c r="N260">
        <v>0</v>
      </c>
      <c r="O260" s="1" t="s">
        <v>14</v>
      </c>
      <c r="P260">
        <v>151.036</v>
      </c>
      <c r="Q260" s="1" t="s">
        <v>14</v>
      </c>
      <c r="R260">
        <v>153.964</v>
      </c>
      <c r="S260" s="1" t="s">
        <v>14</v>
      </c>
      <c r="T260">
        <v>171.07111111111109</v>
      </c>
      <c r="U260" s="1" t="s">
        <v>14</v>
      </c>
      <c r="V260">
        <v>101.93861066235863</v>
      </c>
      <c r="W260" s="1" t="s">
        <v>14</v>
      </c>
      <c r="X260">
        <v>3020.7200000000003</v>
      </c>
      <c r="Y260" s="1" t="s">
        <v>12</v>
      </c>
      <c r="Z260" s="1" t="str">
        <f t="shared" si="4"/>
        <v>&lt;tr&gt; &lt;td&gt;2874152&lt;/td&gt;&lt;td&gt;SERVO ECO 4T-20 X 0.9 L&lt;/td&gt;&lt;td&gt;305&lt;/td&gt;&lt;td&gt;151.036&lt;/td&gt;&lt;td&gt;0&lt;/td&gt;&lt;td&gt;0&lt;/td&gt;&lt;td&gt;0&lt;/td&gt;&lt;td&gt;151.036&lt;/td&gt;&lt;td&gt;153.964&lt;/td&gt;&lt;td&gt;171.071111111111&lt;/td&gt;&lt;td&gt;101.938610662359&lt;/td&gt;&lt;td&gt;3020.72&lt;/td&gt;&lt;/tr&gt;</v>
      </c>
    </row>
    <row r="261" spans="1:26" x14ac:dyDescent="0.3">
      <c r="A261" s="1" t="s">
        <v>13</v>
      </c>
      <c r="B261">
        <v>2874184</v>
      </c>
      <c r="C261" s="1" t="s">
        <v>14</v>
      </c>
      <c r="D261" t="s">
        <v>358</v>
      </c>
      <c r="E261" s="1" t="s">
        <v>14</v>
      </c>
      <c r="F261">
        <v>336</v>
      </c>
      <c r="G261" s="1" t="s">
        <v>14</v>
      </c>
      <c r="H261">
        <v>167.79840000000002</v>
      </c>
      <c r="I261" s="1" t="s">
        <v>14</v>
      </c>
      <c r="J261">
        <v>0</v>
      </c>
      <c r="K261" s="1" t="s">
        <v>14</v>
      </c>
      <c r="L261">
        <v>0</v>
      </c>
      <c r="M261" s="1" t="s">
        <v>14</v>
      </c>
      <c r="N261">
        <v>0</v>
      </c>
      <c r="O261" s="1" t="s">
        <v>14</v>
      </c>
      <c r="P261">
        <v>167.79840000000002</v>
      </c>
      <c r="Q261" s="1" t="s">
        <v>14</v>
      </c>
      <c r="R261">
        <v>168.20159999999998</v>
      </c>
      <c r="S261" s="1" t="s">
        <v>14</v>
      </c>
      <c r="T261">
        <v>168.20159999999998</v>
      </c>
      <c r="U261" s="1" t="s">
        <v>14</v>
      </c>
      <c r="V261">
        <v>100.24028834601519</v>
      </c>
      <c r="W261" s="1" t="s">
        <v>14</v>
      </c>
      <c r="X261">
        <v>3355.9680000000026</v>
      </c>
      <c r="Y261" s="1" t="s">
        <v>12</v>
      </c>
      <c r="Z261" s="1" t="str">
        <f t="shared" si="4"/>
        <v>&lt;tr&gt; &lt;td&gt;2874184&lt;/td&gt;&lt;td&gt;SERVO ECO 4T-20 X 1 L&lt;/td&gt;&lt;td&gt;336&lt;/td&gt;&lt;td&gt;167.7984&lt;/td&gt;&lt;td&gt;0&lt;/td&gt;&lt;td&gt;0&lt;/td&gt;&lt;td&gt;0&lt;/td&gt;&lt;td&gt;167.7984&lt;/td&gt;&lt;td&gt;168.2016&lt;/td&gt;&lt;td&gt;168.2016&lt;/td&gt;&lt;td&gt;100.240288346015&lt;/td&gt;&lt;td&gt;3355.968&lt;/td&gt;&lt;/tr&gt;</v>
      </c>
    </row>
    <row r="262" spans="1:26" x14ac:dyDescent="0.3">
      <c r="A262" s="1" t="s">
        <v>13</v>
      </c>
      <c r="B262">
        <v>7364184</v>
      </c>
      <c r="C262" s="1" t="s">
        <v>14</v>
      </c>
      <c r="D262" t="s">
        <v>359</v>
      </c>
      <c r="E262" s="1" t="s">
        <v>14</v>
      </c>
      <c r="F262">
        <v>250</v>
      </c>
      <c r="G262" s="1" t="s">
        <v>14</v>
      </c>
      <c r="H262">
        <v>172.45</v>
      </c>
      <c r="I262" s="1" t="s">
        <v>14</v>
      </c>
      <c r="J262">
        <v>0</v>
      </c>
      <c r="K262" s="1" t="s">
        <v>14</v>
      </c>
      <c r="L262">
        <v>0</v>
      </c>
      <c r="M262" s="1" t="s">
        <v>14</v>
      </c>
      <c r="N262">
        <v>0</v>
      </c>
      <c r="O262" s="1" t="s">
        <v>14</v>
      </c>
      <c r="P262">
        <v>172.45</v>
      </c>
      <c r="Q262" s="1" t="s">
        <v>14</v>
      </c>
      <c r="R262">
        <v>77.550000000000011</v>
      </c>
      <c r="S262" s="1" t="s">
        <v>14</v>
      </c>
      <c r="T262">
        <v>77.550000000000011</v>
      </c>
      <c r="U262" s="1" t="s">
        <v>14</v>
      </c>
      <c r="V262">
        <v>44.969556393157447</v>
      </c>
      <c r="W262" s="1" t="s">
        <v>14</v>
      </c>
      <c r="X262">
        <v>3449.0000000000023</v>
      </c>
      <c r="Y262" s="1" t="s">
        <v>12</v>
      </c>
      <c r="Z262" s="1" t="str">
        <f t="shared" si="4"/>
        <v>&lt;tr&gt; &lt;td&gt;7364184&lt;/td&gt;&lt;td&gt;SERVO ECO CF-4 15W-40-20 X 1 L&lt;/td&gt;&lt;td&gt;250&lt;/td&gt;&lt;td&gt;172.45&lt;/td&gt;&lt;td&gt;0&lt;/td&gt;&lt;td&gt;0&lt;/td&gt;&lt;td&gt;0&lt;/td&gt;&lt;td&gt;172.45&lt;/td&gt;&lt;td&gt;77.55&lt;/td&gt;&lt;td&gt;77.55&lt;/td&gt;&lt;td&gt;44.9695563931574&lt;/td&gt;&lt;td&gt;3449&lt;/td&gt;&lt;/tr&gt;</v>
      </c>
    </row>
    <row r="263" spans="1:26" x14ac:dyDescent="0.3">
      <c r="A263" s="1" t="s">
        <v>13</v>
      </c>
      <c r="B263">
        <v>7364203</v>
      </c>
      <c r="C263" s="1" t="s">
        <v>14</v>
      </c>
      <c r="D263" t="s">
        <v>360</v>
      </c>
      <c r="E263" s="1" t="s">
        <v>14</v>
      </c>
      <c r="F263">
        <v>810</v>
      </c>
      <c r="G263" s="1" t="s">
        <v>14</v>
      </c>
      <c r="H263">
        <v>517.34699999999998</v>
      </c>
      <c r="I263" s="1" t="s">
        <v>14</v>
      </c>
      <c r="J263">
        <v>0</v>
      </c>
      <c r="K263" s="1" t="s">
        <v>14</v>
      </c>
      <c r="L263">
        <v>0</v>
      </c>
      <c r="M263" s="1" t="s">
        <v>14</v>
      </c>
      <c r="N263">
        <v>0</v>
      </c>
      <c r="O263" s="1" t="s">
        <v>14</v>
      </c>
      <c r="P263">
        <v>517.34699999999998</v>
      </c>
      <c r="Q263" s="1" t="s">
        <v>14</v>
      </c>
      <c r="R263">
        <v>292.65300000000002</v>
      </c>
      <c r="S263" s="1" t="s">
        <v>14</v>
      </c>
      <c r="T263">
        <v>97.551000000000016</v>
      </c>
      <c r="U263" s="1" t="s">
        <v>14</v>
      </c>
      <c r="V263">
        <v>56.568028808517312</v>
      </c>
      <c r="W263" s="1" t="s">
        <v>14</v>
      </c>
      <c r="X263">
        <v>2069.3880000000008</v>
      </c>
      <c r="Y263" s="1" t="s">
        <v>12</v>
      </c>
      <c r="Z263" s="1" t="str">
        <f t="shared" si="4"/>
        <v>&lt;tr&gt; &lt;td&gt;7364203&lt;/td&gt;&lt;td&gt;SERVO ECO CF-4 15W-40-4 X 3 L&lt;/td&gt;&lt;td&gt;810&lt;/td&gt;&lt;td&gt;517.347&lt;/td&gt;&lt;td&gt;0&lt;/td&gt;&lt;td&gt;0&lt;/td&gt;&lt;td&gt;0&lt;/td&gt;&lt;td&gt;517.347&lt;/td&gt;&lt;td&gt;292.653&lt;/td&gt;&lt;td&gt;97.551&lt;/td&gt;&lt;td&gt;56.5680288085173&lt;/td&gt;&lt;td&gt;2069.388&lt;/td&gt;&lt;/tr&gt;</v>
      </c>
    </row>
    <row r="264" spans="1:26" x14ac:dyDescent="0.3">
      <c r="A264" s="1" t="s">
        <v>13</v>
      </c>
      <c r="B264">
        <v>7364234</v>
      </c>
      <c r="C264" s="1" t="s">
        <v>14</v>
      </c>
      <c r="D264" t="s">
        <v>361</v>
      </c>
      <c r="E264" s="1" t="s">
        <v>14</v>
      </c>
      <c r="F264">
        <v>1350</v>
      </c>
      <c r="G264" s="1" t="s">
        <v>14</v>
      </c>
      <c r="H264">
        <v>862.245</v>
      </c>
      <c r="I264" s="1" t="s">
        <v>14</v>
      </c>
      <c r="J264">
        <v>0</v>
      </c>
      <c r="K264" s="1" t="s">
        <v>14</v>
      </c>
      <c r="L264">
        <v>0</v>
      </c>
      <c r="M264" s="1" t="s">
        <v>14</v>
      </c>
      <c r="N264">
        <v>0</v>
      </c>
      <c r="O264" s="1" t="s">
        <v>14</v>
      </c>
      <c r="P264">
        <v>862.245</v>
      </c>
      <c r="Q264" s="1" t="s">
        <v>14</v>
      </c>
      <c r="R264">
        <v>487.755</v>
      </c>
      <c r="S264" s="1" t="s">
        <v>14</v>
      </c>
      <c r="T264">
        <v>97.550999999999988</v>
      </c>
      <c r="U264" s="1" t="s">
        <v>14</v>
      </c>
      <c r="V264">
        <v>56.568028808517298</v>
      </c>
      <c r="W264" s="1" t="s">
        <v>14</v>
      </c>
      <c r="X264">
        <v>3448.9800000000023</v>
      </c>
      <c r="Y264" s="1" t="s">
        <v>12</v>
      </c>
      <c r="Z264" s="1" t="str">
        <f t="shared" si="4"/>
        <v>&lt;tr&gt; &lt;td&gt;7364234&lt;/td&gt;&lt;td&gt;SERVO ECO CF-4 15W-40-4 X 5 L&lt;/td&gt;&lt;td&gt;1350&lt;/td&gt;&lt;td&gt;862.245&lt;/td&gt;&lt;td&gt;0&lt;/td&gt;&lt;td&gt;0&lt;/td&gt;&lt;td&gt;0&lt;/td&gt;&lt;td&gt;862.245&lt;/td&gt;&lt;td&gt;487.755&lt;/td&gt;&lt;td&gt;97.551&lt;/td&gt;&lt;td&gt;56.5680288085173&lt;/td&gt;&lt;td&gt;3448.98&lt;/td&gt;&lt;/tr&gt;</v>
      </c>
    </row>
    <row r="265" spans="1:26" x14ac:dyDescent="0.3">
      <c r="A265" s="1" t="s">
        <v>13</v>
      </c>
      <c r="B265">
        <v>7364242</v>
      </c>
      <c r="C265" s="1" t="s">
        <v>14</v>
      </c>
      <c r="D265" t="s">
        <v>362</v>
      </c>
      <c r="E265" s="1" t="s">
        <v>14</v>
      </c>
      <c r="F265">
        <v>2750</v>
      </c>
      <c r="G265" s="1" t="s">
        <v>14</v>
      </c>
      <c r="H265">
        <v>1724.5250000000001</v>
      </c>
      <c r="I265" s="1" t="s">
        <v>14</v>
      </c>
      <c r="J265">
        <v>0</v>
      </c>
      <c r="K265" s="1" t="s">
        <v>14</v>
      </c>
      <c r="L265">
        <v>0</v>
      </c>
      <c r="M265" s="1" t="s">
        <v>14</v>
      </c>
      <c r="N265">
        <v>0</v>
      </c>
      <c r="O265" s="1" t="s">
        <v>14</v>
      </c>
      <c r="P265">
        <v>1724.5250000000001</v>
      </c>
      <c r="Q265" s="1" t="s">
        <v>14</v>
      </c>
      <c r="R265">
        <v>1025.4749999999999</v>
      </c>
      <c r="S265" s="1" t="s">
        <v>14</v>
      </c>
      <c r="T265">
        <v>102.54749999999999</v>
      </c>
      <c r="U265" s="1" t="s">
        <v>14</v>
      </c>
      <c r="V265">
        <v>59.464200287035553</v>
      </c>
      <c r="W265" s="1" t="s">
        <v>14</v>
      </c>
      <c r="X265">
        <v>1724.5250000000008</v>
      </c>
      <c r="Y265" s="1" t="s">
        <v>12</v>
      </c>
      <c r="Z265" s="1" t="str">
        <f t="shared" si="4"/>
        <v>&lt;tr&gt; &lt;td&gt;7364242&lt;/td&gt;&lt;td&gt;SERVO ECO CF-4 15W-40-10 L&lt;/td&gt;&lt;td&gt;2750&lt;/td&gt;&lt;td&gt;1724.525&lt;/td&gt;&lt;td&gt;0&lt;/td&gt;&lt;td&gt;0&lt;/td&gt;&lt;td&gt;0&lt;/td&gt;&lt;td&gt;1724.525&lt;/td&gt;&lt;td&gt;1025.475&lt;/td&gt;&lt;td&gt;102.5475&lt;/td&gt;&lt;td&gt;59.4642002870356&lt;/td&gt;&lt;td&gt;1724.525&lt;/td&gt;&lt;/tr&gt;</v>
      </c>
    </row>
    <row r="266" spans="1:26" x14ac:dyDescent="0.3">
      <c r="A266" s="1" t="s">
        <v>13</v>
      </c>
      <c r="B266">
        <v>7364251</v>
      </c>
      <c r="C266" s="1" t="s">
        <v>14</v>
      </c>
      <c r="D266" t="s">
        <v>363</v>
      </c>
      <c r="E266" s="1" t="s">
        <v>14</v>
      </c>
      <c r="F266">
        <v>2025</v>
      </c>
      <c r="G266" s="1" t="s">
        <v>14</v>
      </c>
      <c r="H266">
        <v>1293.3675000000001</v>
      </c>
      <c r="I266" s="1" t="s">
        <v>14</v>
      </c>
      <c r="J266">
        <v>0</v>
      </c>
      <c r="K266" s="1" t="s">
        <v>14</v>
      </c>
      <c r="L266">
        <v>0</v>
      </c>
      <c r="M266" s="1" t="s">
        <v>14</v>
      </c>
      <c r="N266">
        <v>0</v>
      </c>
      <c r="O266" s="1" t="s">
        <v>14</v>
      </c>
      <c r="P266">
        <v>1293.3675000000001</v>
      </c>
      <c r="Q266" s="1" t="s">
        <v>14</v>
      </c>
      <c r="R266">
        <v>731.63249999999994</v>
      </c>
      <c r="S266" s="1" t="s">
        <v>14</v>
      </c>
      <c r="T266">
        <v>97.550999999999988</v>
      </c>
      <c r="U266" s="1" t="s">
        <v>14</v>
      </c>
      <c r="V266">
        <v>56.56802880851729</v>
      </c>
      <c r="W266" s="1" t="s">
        <v>14</v>
      </c>
      <c r="X266">
        <v>1293.367500000001</v>
      </c>
      <c r="Y266" s="1" t="s">
        <v>12</v>
      </c>
      <c r="Z266" s="1" t="str">
        <f t="shared" si="4"/>
        <v>&lt;tr&gt; &lt;td&gt;7364251&lt;/td&gt;&lt;td&gt;SERVO ECO CF-4 15W-40-7.5 L&lt;/td&gt;&lt;td&gt;2025&lt;/td&gt;&lt;td&gt;1293.3675&lt;/td&gt;&lt;td&gt;0&lt;/td&gt;&lt;td&gt;0&lt;/td&gt;&lt;td&gt;0&lt;/td&gt;&lt;td&gt;1293.3675&lt;/td&gt;&lt;td&gt;731.6325&lt;/td&gt;&lt;td&gt;97.551&lt;/td&gt;&lt;td&gt;56.5680288085173&lt;/td&gt;&lt;td&gt;1293.3675&lt;/td&gt;&lt;/tr&gt;</v>
      </c>
    </row>
    <row r="267" spans="1:26" x14ac:dyDescent="0.3">
      <c r="A267" s="1" t="s">
        <v>13</v>
      </c>
      <c r="B267">
        <v>7364256</v>
      </c>
      <c r="C267" s="1" t="s">
        <v>14</v>
      </c>
      <c r="D267" t="s">
        <v>364</v>
      </c>
      <c r="E267" s="1" t="s">
        <v>14</v>
      </c>
      <c r="F267">
        <v>4125</v>
      </c>
      <c r="G267" s="1" t="s">
        <v>14</v>
      </c>
      <c r="H267">
        <v>2586.7874999999999</v>
      </c>
      <c r="I267" s="1" t="s">
        <v>14</v>
      </c>
      <c r="J267">
        <v>0</v>
      </c>
      <c r="K267" s="1" t="s">
        <v>14</v>
      </c>
      <c r="L267">
        <v>0</v>
      </c>
      <c r="M267" s="1" t="s">
        <v>14</v>
      </c>
      <c r="N267">
        <v>0</v>
      </c>
      <c r="O267" s="1" t="s">
        <v>14</v>
      </c>
      <c r="P267">
        <v>2586.7874999999999</v>
      </c>
      <c r="Q267" s="1" t="s">
        <v>14</v>
      </c>
      <c r="R267">
        <v>1538.2125000000001</v>
      </c>
      <c r="S267" s="1" t="s">
        <v>14</v>
      </c>
      <c r="T267">
        <v>102.54750000000001</v>
      </c>
      <c r="U267" s="1" t="s">
        <v>14</v>
      </c>
      <c r="V267">
        <v>59.46420028703556</v>
      </c>
      <c r="W267" s="1" t="s">
        <v>14</v>
      </c>
      <c r="X267">
        <v>2586.7875000000017</v>
      </c>
      <c r="Y267" s="1" t="s">
        <v>12</v>
      </c>
      <c r="Z267" s="1" t="str">
        <f t="shared" si="4"/>
        <v>&lt;tr&gt; &lt;td&gt;7364256&lt;/td&gt;&lt;td&gt;SERVO ECO CF-4 15W-40-15 L&lt;/td&gt;&lt;td&gt;4125&lt;/td&gt;&lt;td&gt;2586.7875&lt;/td&gt;&lt;td&gt;0&lt;/td&gt;&lt;td&gt;0&lt;/td&gt;&lt;td&gt;0&lt;/td&gt;&lt;td&gt;2586.7875&lt;/td&gt;&lt;td&gt;1538.2125&lt;/td&gt;&lt;td&gt;102.5475&lt;/td&gt;&lt;td&gt;59.4642002870356&lt;/td&gt;&lt;td&gt;2586.7875&lt;/td&gt;&lt;/tr&gt;</v>
      </c>
    </row>
    <row r="268" spans="1:26" x14ac:dyDescent="0.3">
      <c r="A268" s="1" t="s">
        <v>13</v>
      </c>
      <c r="B268">
        <v>7364265</v>
      </c>
      <c r="C268" s="1" t="s">
        <v>14</v>
      </c>
      <c r="D268" t="s">
        <v>365</v>
      </c>
      <c r="E268" s="1" t="s">
        <v>14</v>
      </c>
      <c r="F268">
        <v>5500</v>
      </c>
      <c r="G268" s="1" t="s">
        <v>14</v>
      </c>
      <c r="H268">
        <v>3449.05</v>
      </c>
      <c r="I268" s="1" t="s">
        <v>14</v>
      </c>
      <c r="J268">
        <v>0</v>
      </c>
      <c r="K268" s="1" t="s">
        <v>14</v>
      </c>
      <c r="L268">
        <v>0</v>
      </c>
      <c r="M268" s="1" t="s">
        <v>14</v>
      </c>
      <c r="N268">
        <v>0</v>
      </c>
      <c r="O268" s="1" t="s">
        <v>14</v>
      </c>
      <c r="P268">
        <v>3449.05</v>
      </c>
      <c r="Q268" s="1" t="s">
        <v>14</v>
      </c>
      <c r="R268">
        <v>2050.9499999999998</v>
      </c>
      <c r="S268" s="1" t="s">
        <v>14</v>
      </c>
      <c r="T268">
        <v>102.54749999999999</v>
      </c>
      <c r="U268" s="1" t="s">
        <v>14</v>
      </c>
      <c r="V268">
        <v>59.464200287035553</v>
      </c>
      <c r="W268" s="1" t="s">
        <v>14</v>
      </c>
      <c r="X268">
        <v>3449.0500000000025</v>
      </c>
      <c r="Y268" s="1" t="s">
        <v>12</v>
      </c>
      <c r="Z268" s="1" t="str">
        <f t="shared" si="4"/>
        <v>&lt;tr&gt; &lt;td&gt;7364265&lt;/td&gt;&lt;td&gt;SERVO ECO CF-4 15W-40-20 L&lt;/td&gt;&lt;td&gt;5500&lt;/td&gt;&lt;td&gt;3449.05&lt;/td&gt;&lt;td&gt;0&lt;/td&gt;&lt;td&gt;0&lt;/td&gt;&lt;td&gt;0&lt;/td&gt;&lt;td&gt;3449.05&lt;/td&gt;&lt;td&gt;2050.95&lt;/td&gt;&lt;td&gt;102.5475&lt;/td&gt;&lt;td&gt;59.4642002870356&lt;/td&gt;&lt;td&gt;3449.05&lt;/td&gt;&lt;/tr&gt;</v>
      </c>
    </row>
    <row r="269" spans="1:26" x14ac:dyDescent="0.3">
      <c r="A269" s="1" t="s">
        <v>13</v>
      </c>
      <c r="B269">
        <v>7370184</v>
      </c>
      <c r="C269" s="1" t="s">
        <v>14</v>
      </c>
      <c r="D269" t="s">
        <v>366</v>
      </c>
      <c r="E269" s="1" t="s">
        <v>14</v>
      </c>
      <c r="F269">
        <v>300</v>
      </c>
      <c r="G269" s="1" t="s">
        <v>14</v>
      </c>
      <c r="H269">
        <v>188.91</v>
      </c>
      <c r="I269" s="1" t="s">
        <v>14</v>
      </c>
      <c r="J269">
        <v>0</v>
      </c>
      <c r="K269" s="1" t="s">
        <v>14</v>
      </c>
      <c r="L269">
        <v>0</v>
      </c>
      <c r="M269" s="1" t="s">
        <v>14</v>
      </c>
      <c r="N269">
        <v>0</v>
      </c>
      <c r="O269" s="1" t="s">
        <v>14</v>
      </c>
      <c r="P269">
        <v>188.91</v>
      </c>
      <c r="Q269" s="1" t="s">
        <v>14</v>
      </c>
      <c r="R269">
        <v>111.09</v>
      </c>
      <c r="S269" s="1" t="s">
        <v>14</v>
      </c>
      <c r="T269">
        <v>111.09</v>
      </c>
      <c r="U269" s="1" t="s">
        <v>14</v>
      </c>
      <c r="V269">
        <v>58.805780530411312</v>
      </c>
      <c r="W269" s="1" t="s">
        <v>14</v>
      </c>
      <c r="X269">
        <v>3778.2000000000025</v>
      </c>
      <c r="Y269" s="1" t="s">
        <v>12</v>
      </c>
      <c r="Z269" s="1" t="str">
        <f t="shared" si="4"/>
        <v>&lt;tr&gt; &lt;td&gt;7370184&lt;/td&gt;&lt;td&gt;SERVO ECO CI4 PLUS 15W-40-20 X 1 L&lt;/td&gt;&lt;td&gt;300&lt;/td&gt;&lt;td&gt;188.91&lt;/td&gt;&lt;td&gt;0&lt;/td&gt;&lt;td&gt;0&lt;/td&gt;&lt;td&gt;0&lt;/td&gt;&lt;td&gt;188.91&lt;/td&gt;&lt;td&gt;111.09&lt;/td&gt;&lt;td&gt;111.09&lt;/td&gt;&lt;td&gt;58.8057805304113&lt;/td&gt;&lt;td&gt;3778.2&lt;/td&gt;&lt;/tr&gt;</v>
      </c>
    </row>
    <row r="270" spans="1:26" x14ac:dyDescent="0.3">
      <c r="A270" s="1" t="s">
        <v>13</v>
      </c>
      <c r="B270">
        <v>7370234</v>
      </c>
      <c r="C270" s="1" t="s">
        <v>14</v>
      </c>
      <c r="D270" t="s">
        <v>367</v>
      </c>
      <c r="E270" s="1" t="s">
        <v>14</v>
      </c>
      <c r="F270">
        <v>1525</v>
      </c>
      <c r="G270" s="1" t="s">
        <v>14</v>
      </c>
      <c r="H270">
        <v>944.4325</v>
      </c>
      <c r="I270" s="1" t="s">
        <v>14</v>
      </c>
      <c r="J270">
        <v>0</v>
      </c>
      <c r="K270" s="1" t="s">
        <v>14</v>
      </c>
      <c r="L270">
        <v>0</v>
      </c>
      <c r="M270" s="1" t="s">
        <v>14</v>
      </c>
      <c r="N270">
        <v>0</v>
      </c>
      <c r="O270" s="1" t="s">
        <v>14</v>
      </c>
      <c r="P270">
        <v>944.4325</v>
      </c>
      <c r="Q270" s="1" t="s">
        <v>14</v>
      </c>
      <c r="R270">
        <v>580.5675</v>
      </c>
      <c r="S270" s="1" t="s">
        <v>14</v>
      </c>
      <c r="T270">
        <v>116.11349999999999</v>
      </c>
      <c r="U270" s="1" t="s">
        <v>14</v>
      </c>
      <c r="V270">
        <v>61.472630389149039</v>
      </c>
      <c r="W270" s="1" t="s">
        <v>14</v>
      </c>
      <c r="X270">
        <v>3777.7300000000027</v>
      </c>
      <c r="Y270" s="1" t="s">
        <v>12</v>
      </c>
      <c r="Z270" s="1" t="str">
        <f t="shared" si="4"/>
        <v>&lt;tr&gt; &lt;td&gt;7370234&lt;/td&gt;&lt;td&gt;SERVO ECO CI4 PLUS 15W-40-4 X 5 L&lt;/td&gt;&lt;td&gt;1525&lt;/td&gt;&lt;td&gt;944.4325&lt;/td&gt;&lt;td&gt;0&lt;/td&gt;&lt;td&gt;0&lt;/td&gt;&lt;td&gt;0&lt;/td&gt;&lt;td&gt;944.4325&lt;/td&gt;&lt;td&gt;580.5675&lt;/td&gt;&lt;td&gt;116.1135&lt;/td&gt;&lt;td&gt;61.472630389149&lt;/td&gt;&lt;td&gt;3777.73&lt;/td&gt;&lt;/tr&gt;</v>
      </c>
    </row>
    <row r="271" spans="1:26" x14ac:dyDescent="0.3">
      <c r="A271" s="1" t="s">
        <v>13</v>
      </c>
      <c r="B271">
        <v>7370242</v>
      </c>
      <c r="C271" s="1" t="s">
        <v>14</v>
      </c>
      <c r="D271" t="s">
        <v>368</v>
      </c>
      <c r="E271" s="1" t="s">
        <v>14</v>
      </c>
      <c r="F271">
        <v>3100</v>
      </c>
      <c r="G271" s="1" t="s">
        <v>14</v>
      </c>
      <c r="H271">
        <v>1889.14</v>
      </c>
      <c r="I271" s="1" t="s">
        <v>14</v>
      </c>
      <c r="J271">
        <v>0</v>
      </c>
      <c r="K271" s="1" t="s">
        <v>14</v>
      </c>
      <c r="L271">
        <v>0</v>
      </c>
      <c r="M271" s="1" t="s">
        <v>14</v>
      </c>
      <c r="N271">
        <v>0</v>
      </c>
      <c r="O271" s="1" t="s">
        <v>14</v>
      </c>
      <c r="P271">
        <v>1889.1399999999999</v>
      </c>
      <c r="Q271" s="1" t="s">
        <v>14</v>
      </c>
      <c r="R271">
        <v>1210.8600000000001</v>
      </c>
      <c r="S271" s="1" t="s">
        <v>14</v>
      </c>
      <c r="T271">
        <v>121.08600000000001</v>
      </c>
      <c r="U271" s="1" t="s">
        <v>14</v>
      </c>
      <c r="V271">
        <v>64.095831965868072</v>
      </c>
      <c r="W271" s="1" t="s">
        <v>14</v>
      </c>
      <c r="X271">
        <v>1889.1400000000008</v>
      </c>
      <c r="Y271" s="1" t="s">
        <v>12</v>
      </c>
      <c r="Z271" s="1" t="str">
        <f t="shared" si="4"/>
        <v>&lt;tr&gt; &lt;td&gt;7370242&lt;/td&gt;&lt;td&gt;SERVO ECO CI4 PLUS 15W-40-10 L&lt;/td&gt;&lt;td&gt;3100&lt;/td&gt;&lt;td&gt;1889.14&lt;/td&gt;&lt;td&gt;0&lt;/td&gt;&lt;td&gt;0&lt;/td&gt;&lt;td&gt;0&lt;/td&gt;&lt;td&gt;1889.14&lt;/td&gt;&lt;td&gt;1210.86&lt;/td&gt;&lt;td&gt;121.086&lt;/td&gt;&lt;td&gt;64.0958319658681&lt;/td&gt;&lt;td&gt;1889.14&lt;/td&gt;&lt;/tr&gt;</v>
      </c>
    </row>
    <row r="272" spans="1:26" x14ac:dyDescent="0.3">
      <c r="A272" s="1" t="s">
        <v>13</v>
      </c>
      <c r="B272">
        <v>7370251</v>
      </c>
      <c r="C272" s="1" t="s">
        <v>14</v>
      </c>
      <c r="D272" t="s">
        <v>369</v>
      </c>
      <c r="E272" s="1" t="s">
        <v>14</v>
      </c>
      <c r="F272">
        <v>2325</v>
      </c>
      <c r="G272" s="1" t="s">
        <v>14</v>
      </c>
      <c r="H272">
        <v>1416.855</v>
      </c>
      <c r="I272" s="1" t="s">
        <v>14</v>
      </c>
      <c r="J272">
        <v>0</v>
      </c>
      <c r="K272" s="1" t="s">
        <v>14</v>
      </c>
      <c r="L272">
        <v>0</v>
      </c>
      <c r="M272" s="1" t="s">
        <v>14</v>
      </c>
      <c r="N272">
        <v>0</v>
      </c>
      <c r="O272" s="1" t="s">
        <v>14</v>
      </c>
      <c r="P272">
        <v>1416.855</v>
      </c>
      <c r="Q272" s="1" t="s">
        <v>14</v>
      </c>
      <c r="R272">
        <v>908.14499999999998</v>
      </c>
      <c r="S272" s="1" t="s">
        <v>14</v>
      </c>
      <c r="T272">
        <v>121.08599999999998</v>
      </c>
      <c r="U272" s="1" t="s">
        <v>14</v>
      </c>
      <c r="V272">
        <v>64.095831965868072</v>
      </c>
      <c r="W272" s="1" t="s">
        <v>14</v>
      </c>
      <c r="X272">
        <v>1416.8550000000009</v>
      </c>
      <c r="Y272" s="1" t="s">
        <v>12</v>
      </c>
      <c r="Z272" s="1" t="str">
        <f t="shared" si="4"/>
        <v>&lt;tr&gt; &lt;td&gt;7370251&lt;/td&gt;&lt;td&gt;SERVO ECO CI4 PLUS 15W-40-7.5 L&lt;/td&gt;&lt;td&gt;2325&lt;/td&gt;&lt;td&gt;1416.855&lt;/td&gt;&lt;td&gt;0&lt;/td&gt;&lt;td&gt;0&lt;/td&gt;&lt;td&gt;0&lt;/td&gt;&lt;td&gt;1416.855&lt;/td&gt;&lt;td&gt;908.145&lt;/td&gt;&lt;td&gt;121.086&lt;/td&gt;&lt;td&gt;64.0958319658681&lt;/td&gt;&lt;td&gt;1416.855&lt;/td&gt;&lt;/tr&gt;</v>
      </c>
    </row>
    <row r="273" spans="1:26" x14ac:dyDescent="0.3">
      <c r="A273" s="1" t="s">
        <v>13</v>
      </c>
      <c r="B273">
        <v>7370256</v>
      </c>
      <c r="C273" s="1" t="s">
        <v>14</v>
      </c>
      <c r="D273" t="s">
        <v>370</v>
      </c>
      <c r="E273" s="1" t="s">
        <v>14</v>
      </c>
      <c r="F273">
        <v>4650</v>
      </c>
      <c r="G273" s="1" t="s">
        <v>14</v>
      </c>
      <c r="H273">
        <v>2833.71</v>
      </c>
      <c r="I273" s="1" t="s">
        <v>14</v>
      </c>
      <c r="J273">
        <v>0</v>
      </c>
      <c r="K273" s="1" t="s">
        <v>14</v>
      </c>
      <c r="L273">
        <v>0</v>
      </c>
      <c r="M273" s="1" t="s">
        <v>14</v>
      </c>
      <c r="N273">
        <v>0</v>
      </c>
      <c r="O273" s="1" t="s">
        <v>14</v>
      </c>
      <c r="P273">
        <v>2833.71</v>
      </c>
      <c r="Q273" s="1" t="s">
        <v>14</v>
      </c>
      <c r="R273">
        <v>1816.29</v>
      </c>
      <c r="S273" s="1" t="s">
        <v>14</v>
      </c>
      <c r="T273">
        <v>121.08599999999998</v>
      </c>
      <c r="U273" s="1" t="s">
        <v>14</v>
      </c>
      <c r="V273">
        <v>64.095831965868072</v>
      </c>
      <c r="W273" s="1" t="s">
        <v>14</v>
      </c>
      <c r="X273">
        <v>2833.7100000000019</v>
      </c>
      <c r="Y273" s="1" t="s">
        <v>12</v>
      </c>
      <c r="Z273" s="1" t="str">
        <f t="shared" si="4"/>
        <v>&lt;tr&gt; &lt;td&gt;7370256&lt;/td&gt;&lt;td&gt;SERVO ECO CI4 PLUS 15W-40-15 L&lt;/td&gt;&lt;td&gt;4650&lt;/td&gt;&lt;td&gt;2833.71&lt;/td&gt;&lt;td&gt;0&lt;/td&gt;&lt;td&gt;0&lt;/td&gt;&lt;td&gt;0&lt;/td&gt;&lt;td&gt;2833.71&lt;/td&gt;&lt;td&gt;1816.29&lt;/td&gt;&lt;td&gt;121.086&lt;/td&gt;&lt;td&gt;64.0958319658681&lt;/td&gt;&lt;td&gt;2833.71&lt;/td&gt;&lt;/tr&gt;</v>
      </c>
    </row>
    <row r="274" spans="1:26" x14ac:dyDescent="0.3">
      <c r="A274" s="1" t="s">
        <v>13</v>
      </c>
      <c r="B274">
        <v>7376184</v>
      </c>
      <c r="C274" s="1" t="s">
        <v>14</v>
      </c>
      <c r="D274" t="s">
        <v>371</v>
      </c>
      <c r="E274" s="1" t="s">
        <v>14</v>
      </c>
      <c r="F274">
        <v>270</v>
      </c>
      <c r="G274" s="1" t="s">
        <v>14</v>
      </c>
      <c r="H274">
        <v>169.803</v>
      </c>
      <c r="I274" s="1" t="s">
        <v>14</v>
      </c>
      <c r="J274">
        <v>0</v>
      </c>
      <c r="K274" s="1" t="s">
        <v>14</v>
      </c>
      <c r="L274">
        <v>0</v>
      </c>
      <c r="M274" s="1" t="s">
        <v>14</v>
      </c>
      <c r="N274">
        <v>0</v>
      </c>
      <c r="O274" s="1" t="s">
        <v>14</v>
      </c>
      <c r="P274">
        <v>169.803</v>
      </c>
      <c r="Q274" s="1" t="s">
        <v>14</v>
      </c>
      <c r="R274">
        <v>100.197</v>
      </c>
      <c r="S274" s="1" t="s">
        <v>14</v>
      </c>
      <c r="T274">
        <v>100.197</v>
      </c>
      <c r="U274" s="1" t="s">
        <v>14</v>
      </c>
      <c r="V274">
        <v>59.007791381777707</v>
      </c>
      <c r="W274" s="1" t="s">
        <v>14</v>
      </c>
      <c r="X274">
        <v>3396.0600000000022</v>
      </c>
      <c r="Y274" s="1" t="s">
        <v>12</v>
      </c>
      <c r="Z274" s="1" t="str">
        <f t="shared" si="4"/>
        <v>&lt;tr&gt; &lt;td&gt;7376184&lt;/td&gt;&lt;td&gt;SERVO ECO TRACTOR OIL-20 X 1 L&lt;/td&gt;&lt;td&gt;270&lt;/td&gt;&lt;td&gt;169.803&lt;/td&gt;&lt;td&gt;0&lt;/td&gt;&lt;td&gt;0&lt;/td&gt;&lt;td&gt;0&lt;/td&gt;&lt;td&gt;169.803&lt;/td&gt;&lt;td&gt;100.197&lt;/td&gt;&lt;td&gt;100.197&lt;/td&gt;&lt;td&gt;59.0077913817777&lt;/td&gt;&lt;td&gt;3396.06&lt;/td&gt;&lt;/tr&gt;</v>
      </c>
    </row>
    <row r="275" spans="1:26" x14ac:dyDescent="0.3">
      <c r="A275" s="1" t="s">
        <v>13</v>
      </c>
      <c r="B275">
        <v>7376251</v>
      </c>
      <c r="C275" s="1" t="s">
        <v>14</v>
      </c>
      <c r="D275" t="s">
        <v>372</v>
      </c>
      <c r="E275" s="1" t="s">
        <v>14</v>
      </c>
      <c r="F275">
        <v>2100</v>
      </c>
      <c r="G275" s="1" t="s">
        <v>14</v>
      </c>
      <c r="H275">
        <v>1273.6500000000001</v>
      </c>
      <c r="I275" s="1" t="s">
        <v>14</v>
      </c>
      <c r="J275">
        <v>0</v>
      </c>
      <c r="K275" s="1" t="s">
        <v>14</v>
      </c>
      <c r="L275">
        <v>0</v>
      </c>
      <c r="M275" s="1" t="s">
        <v>14</v>
      </c>
      <c r="N275">
        <v>0</v>
      </c>
      <c r="O275" s="1" t="s">
        <v>14</v>
      </c>
      <c r="P275">
        <v>1273.6500000000001</v>
      </c>
      <c r="Q275" s="1" t="s">
        <v>14</v>
      </c>
      <c r="R275">
        <v>826.34999999999991</v>
      </c>
      <c r="S275" s="1" t="s">
        <v>14</v>
      </c>
      <c r="T275">
        <v>110.17999999999998</v>
      </c>
      <c r="U275" s="1" t="s">
        <v>14</v>
      </c>
      <c r="V275">
        <v>64.880461665292657</v>
      </c>
      <c r="W275" s="1" t="s">
        <v>14</v>
      </c>
      <c r="X275">
        <v>1273.650000000001</v>
      </c>
      <c r="Y275" s="1" t="s">
        <v>12</v>
      </c>
      <c r="Z275" s="1" t="str">
        <f t="shared" si="4"/>
        <v>&lt;tr&gt; &lt;td&gt;7376251&lt;/td&gt;&lt;td&gt;SERVO ECO TRACTOR OIL-7.5 L&lt;/td&gt;&lt;td&gt;2100&lt;/td&gt;&lt;td&gt;1273.65&lt;/td&gt;&lt;td&gt;0&lt;/td&gt;&lt;td&gt;0&lt;/td&gt;&lt;td&gt;0&lt;/td&gt;&lt;td&gt;1273.65&lt;/td&gt;&lt;td&gt;826.35&lt;/td&gt;&lt;td&gt;110.18&lt;/td&gt;&lt;td&gt;64.8804616652927&lt;/td&gt;&lt;td&gt;1273.65&lt;/td&gt;&lt;/tr&gt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4986-C102-49BC-9157-0AAC96E7B3CB}">
  <dimension ref="A2:H87"/>
  <sheetViews>
    <sheetView tabSelected="1" topLeftCell="A75" workbookViewId="0">
      <selection activeCell="I97" sqref="I97"/>
    </sheetView>
  </sheetViews>
  <sheetFormatPr defaultRowHeight="14.4" x14ac:dyDescent="0.3"/>
  <cols>
    <col min="2" max="2" width="42.44140625" bestFit="1" customWidth="1"/>
    <col min="7" max="7" width="2.109375" bestFit="1" customWidth="1"/>
  </cols>
  <sheetData>
    <row r="2" spans="1:8" x14ac:dyDescent="0.3">
      <c r="A2" t="s">
        <v>373</v>
      </c>
      <c r="B2" t="s">
        <v>137</v>
      </c>
      <c r="C2" t="s">
        <v>375</v>
      </c>
      <c r="D2">
        <v>1404184</v>
      </c>
      <c r="E2" t="s">
        <v>376</v>
      </c>
      <c r="F2">
        <v>20.000000000000014</v>
      </c>
      <c r="G2" t="s">
        <v>374</v>
      </c>
      <c r="H2" t="str">
        <f>_xlfn.CONCAT(A2,B2,C2,D2,E2,F2,G2)</f>
        <v>{ name: "SERVO PRIDE 40 - 20x1L - HDPE", code:"1404184", uom:20},</v>
      </c>
    </row>
    <row r="3" spans="1:8" x14ac:dyDescent="0.3">
      <c r="A3" t="s">
        <v>373</v>
      </c>
      <c r="B3" t="s">
        <v>138</v>
      </c>
      <c r="C3" t="s">
        <v>375</v>
      </c>
      <c r="D3">
        <v>1404234</v>
      </c>
      <c r="E3" t="s">
        <v>376</v>
      </c>
      <c r="F3">
        <v>20.000000000000014</v>
      </c>
      <c r="G3" t="s">
        <v>374</v>
      </c>
      <c r="H3" t="str">
        <f t="shared" ref="H3:H66" si="0">_xlfn.CONCAT(A3,B3,C3,D3,E3,F3,G3)</f>
        <v>{ name: "SERVO PRIDE 40 - 4x5L - HDPE", code:"1404234", uom:20},</v>
      </c>
    </row>
    <row r="4" spans="1:8" x14ac:dyDescent="0.3">
      <c r="A4" t="s">
        <v>373</v>
      </c>
      <c r="B4" t="s">
        <v>206</v>
      </c>
      <c r="C4" t="s">
        <v>375</v>
      </c>
      <c r="D4">
        <v>2502174</v>
      </c>
      <c r="E4" t="s">
        <v>376</v>
      </c>
      <c r="F4">
        <v>20.000000000000011</v>
      </c>
      <c r="G4" t="s">
        <v>374</v>
      </c>
      <c r="H4" t="str">
        <f t="shared" si="0"/>
        <v>{ name: "SERVO GEAR HP 90-40X1/2L-HDPE", code:"2502174", uom:20},</v>
      </c>
    </row>
    <row r="5" spans="1:8" x14ac:dyDescent="0.3">
      <c r="A5" t="s">
        <v>373</v>
      </c>
      <c r="B5" t="s">
        <v>207</v>
      </c>
      <c r="C5" t="s">
        <v>375</v>
      </c>
      <c r="D5">
        <v>2502184</v>
      </c>
      <c r="E5" t="s">
        <v>376</v>
      </c>
      <c r="F5">
        <v>20.000000000000014</v>
      </c>
      <c r="G5" t="s">
        <v>374</v>
      </c>
      <c r="H5" t="str">
        <f t="shared" si="0"/>
        <v>{ name: "SERVO GEAR HP 90-20X1L-HDPE", code:"2502184", uom:20},</v>
      </c>
    </row>
    <row r="6" spans="1:8" x14ac:dyDescent="0.3">
      <c r="A6" t="s">
        <v>373</v>
      </c>
      <c r="B6" t="s">
        <v>208</v>
      </c>
      <c r="C6" t="s">
        <v>375</v>
      </c>
      <c r="D6">
        <v>2502234</v>
      </c>
      <c r="E6" t="s">
        <v>376</v>
      </c>
      <c r="F6">
        <v>20.000000000000014</v>
      </c>
      <c r="G6" t="s">
        <v>374</v>
      </c>
      <c r="H6" t="str">
        <f t="shared" si="0"/>
        <v>{ name: "SERVO GEAR HP 90 - 4x5L - HDPE", code:"2502234", uom:20},</v>
      </c>
    </row>
    <row r="7" spans="1:8" x14ac:dyDescent="0.3">
      <c r="A7" t="s">
        <v>373</v>
      </c>
      <c r="B7" t="s">
        <v>49</v>
      </c>
      <c r="C7" t="s">
        <v>375</v>
      </c>
      <c r="D7">
        <v>2502401</v>
      </c>
      <c r="E7" t="s">
        <v>376</v>
      </c>
      <c r="F7">
        <v>210</v>
      </c>
      <c r="G7" t="s">
        <v>374</v>
      </c>
      <c r="H7" t="str">
        <f t="shared" si="0"/>
        <v>{ name: "SERVO GEAR HP 90 - 210L BRL", code:"2502401", uom:210},</v>
      </c>
    </row>
    <row r="8" spans="1:8" x14ac:dyDescent="0.3">
      <c r="A8" t="s">
        <v>373</v>
      </c>
      <c r="B8" t="s">
        <v>100</v>
      </c>
      <c r="C8" t="s">
        <v>375</v>
      </c>
      <c r="D8">
        <v>2540199</v>
      </c>
      <c r="E8" t="s">
        <v>376</v>
      </c>
      <c r="F8">
        <v>8.4</v>
      </c>
      <c r="G8" t="s">
        <v>374</v>
      </c>
      <c r="H8" t="str">
        <f t="shared" si="0"/>
        <v>{ name: "MGGO 80W-90 - 4 X 2.1 L", code:"2540199", uom:8.4},</v>
      </c>
    </row>
    <row r="9" spans="1:8" x14ac:dyDescent="0.3">
      <c r="A9" t="s">
        <v>373</v>
      </c>
      <c r="B9" t="s">
        <v>110</v>
      </c>
      <c r="C9" t="s">
        <v>375</v>
      </c>
      <c r="D9">
        <v>2557195</v>
      </c>
      <c r="E9" t="s">
        <v>376</v>
      </c>
      <c r="F9">
        <v>10</v>
      </c>
      <c r="G9" t="s">
        <v>374</v>
      </c>
      <c r="H9" t="str">
        <f t="shared" si="0"/>
        <v>{ name: "HYUNDAI S.GEAR OIL 75W-85-4X2.5L-HDPE", code:"2557195", uom:10},</v>
      </c>
    </row>
    <row r="10" spans="1:8" x14ac:dyDescent="0.3">
      <c r="A10" t="s">
        <v>373</v>
      </c>
      <c r="B10" t="s">
        <v>256</v>
      </c>
      <c r="C10" t="s">
        <v>375</v>
      </c>
      <c r="D10">
        <v>2829230</v>
      </c>
      <c r="E10" t="s">
        <v>376</v>
      </c>
      <c r="F10">
        <v>18</v>
      </c>
      <c r="G10" t="s">
        <v>374</v>
      </c>
      <c r="H10" t="str">
        <f t="shared" si="0"/>
        <v>{ name: "SERVO 4T XTRA 10W-30-20 X 0.9 L PROMO", code:"2829230", uom:18},</v>
      </c>
    </row>
    <row r="11" spans="1:8" x14ac:dyDescent="0.3">
      <c r="A11" t="s">
        <v>373</v>
      </c>
      <c r="B11" t="s">
        <v>260</v>
      </c>
      <c r="C11" t="s">
        <v>375</v>
      </c>
      <c r="D11">
        <v>2889156</v>
      </c>
      <c r="E11" t="s">
        <v>376</v>
      </c>
      <c r="F11">
        <v>16</v>
      </c>
      <c r="G11" t="s">
        <v>374</v>
      </c>
      <c r="H11" t="str">
        <f t="shared" si="0"/>
        <v>{ name: "SERVO SCOOTOMATIC 4ST 10W-30-20 X 0.8 L", code:"2889156", uom:16},</v>
      </c>
    </row>
    <row r="12" spans="1:8" x14ac:dyDescent="0.3">
      <c r="A12" t="s">
        <v>373</v>
      </c>
      <c r="B12" t="s">
        <v>286</v>
      </c>
      <c r="C12" t="s">
        <v>375</v>
      </c>
      <c r="D12">
        <v>2900103</v>
      </c>
      <c r="E12" t="s">
        <v>376</v>
      </c>
      <c r="F12">
        <v>12.000000000000002</v>
      </c>
      <c r="G12" t="s">
        <v>374</v>
      </c>
      <c r="H12" t="str">
        <f t="shared" si="0"/>
        <v>{ name: "SERVO 2T SUPREME-600 X 20 ML", code:"2900103", uom:12},</v>
      </c>
    </row>
    <row r="13" spans="1:8" x14ac:dyDescent="0.3">
      <c r="A13" t="s">
        <v>373</v>
      </c>
      <c r="B13" t="s">
        <v>287</v>
      </c>
      <c r="C13" t="s">
        <v>375</v>
      </c>
      <c r="D13">
        <v>2900125</v>
      </c>
      <c r="E13" t="s">
        <v>376</v>
      </c>
      <c r="F13">
        <v>12</v>
      </c>
      <c r="G13" t="s">
        <v>374</v>
      </c>
      <c r="H13" t="str">
        <f t="shared" si="0"/>
        <v>{ name: "SERVO 2T SUPREME(JFC)-300x40ML - POU", code:"2900125", uom:12},</v>
      </c>
    </row>
    <row r="14" spans="1:8" x14ac:dyDescent="0.3">
      <c r="A14" t="s">
        <v>373</v>
      </c>
      <c r="B14" t="s">
        <v>288</v>
      </c>
      <c r="C14" t="s">
        <v>375</v>
      </c>
      <c r="D14">
        <v>2900145</v>
      </c>
      <c r="E14" t="s">
        <v>376</v>
      </c>
      <c r="F14">
        <v>12</v>
      </c>
      <c r="G14" t="s">
        <v>374</v>
      </c>
      <c r="H14" t="str">
        <f t="shared" si="0"/>
        <v>{ name: "SERVO 2T SUPREME (JFC) - 200X60ML - POU", code:"2900145", uom:12},</v>
      </c>
    </row>
    <row r="15" spans="1:8" x14ac:dyDescent="0.3">
      <c r="A15" t="s">
        <v>373</v>
      </c>
      <c r="B15" t="s">
        <v>290</v>
      </c>
      <c r="C15" t="s">
        <v>375</v>
      </c>
      <c r="D15">
        <v>2900175</v>
      </c>
      <c r="E15" t="s">
        <v>376</v>
      </c>
      <c r="F15">
        <v>10.000000000000005</v>
      </c>
      <c r="G15" t="s">
        <v>374</v>
      </c>
      <c r="H15" t="str">
        <f t="shared" si="0"/>
        <v>{ name: "SERVO 2T SUPREME-20X1/2 L", code:"2900175", uom:10},</v>
      </c>
    </row>
    <row r="16" spans="1:8" x14ac:dyDescent="0.3">
      <c r="A16" t="s">
        <v>373</v>
      </c>
      <c r="B16" t="s">
        <v>291</v>
      </c>
      <c r="C16" t="s">
        <v>375</v>
      </c>
      <c r="D16">
        <v>2900184</v>
      </c>
      <c r="E16" t="s">
        <v>376</v>
      </c>
      <c r="F16">
        <v>20.000000000000014</v>
      </c>
      <c r="G16" t="s">
        <v>374</v>
      </c>
      <c r="H16" t="str">
        <f t="shared" si="0"/>
        <v>{ name: "SERVO 2T SUPREME-20 X 1 L", code:"2900184", uom:20},</v>
      </c>
    </row>
    <row r="17" spans="1:8" x14ac:dyDescent="0.3">
      <c r="A17" t="s">
        <v>373</v>
      </c>
      <c r="B17" t="s">
        <v>322</v>
      </c>
      <c r="C17" t="s">
        <v>375</v>
      </c>
      <c r="D17">
        <v>2909165</v>
      </c>
      <c r="E17" t="s">
        <v>376</v>
      </c>
      <c r="F17">
        <v>5</v>
      </c>
      <c r="G17" t="s">
        <v>374</v>
      </c>
      <c r="H17" t="str">
        <f t="shared" si="0"/>
        <v>{ name: "SERVO BRAKE FLUID SUPER HD - 20X1/4L-HDP", code:"2909165", uom:5},</v>
      </c>
    </row>
    <row r="18" spans="1:8" x14ac:dyDescent="0.3">
      <c r="A18" t="s">
        <v>373</v>
      </c>
      <c r="B18" t="s">
        <v>323</v>
      </c>
      <c r="C18" t="s">
        <v>375</v>
      </c>
      <c r="D18">
        <v>2909175</v>
      </c>
      <c r="E18" t="s">
        <v>376</v>
      </c>
      <c r="F18">
        <v>10.000000000000005</v>
      </c>
      <c r="G18" t="s">
        <v>374</v>
      </c>
      <c r="H18" t="str">
        <f t="shared" si="0"/>
        <v>{ name: "SERVO BRAKE FLUID SUPER HD -20X1/2L-HDPE", code:"2909175", uom:10},</v>
      </c>
    </row>
    <row r="19" spans="1:8" x14ac:dyDescent="0.3">
      <c r="A19" t="s">
        <v>373</v>
      </c>
      <c r="B19" t="s">
        <v>331</v>
      </c>
      <c r="C19" t="s">
        <v>375</v>
      </c>
      <c r="D19">
        <v>2914165</v>
      </c>
      <c r="E19" t="s">
        <v>376</v>
      </c>
      <c r="F19">
        <v>5</v>
      </c>
      <c r="G19" t="s">
        <v>374</v>
      </c>
      <c r="H19" t="str">
        <f t="shared" si="0"/>
        <v>{ name: "SERVO BRAKE FLUID DOT 4-20 X 1/4 L", code:"2914165", uom:5},</v>
      </c>
    </row>
    <row r="20" spans="1:8" x14ac:dyDescent="0.3">
      <c r="A20" t="s">
        <v>373</v>
      </c>
      <c r="B20" t="s">
        <v>332</v>
      </c>
      <c r="C20" t="s">
        <v>375</v>
      </c>
      <c r="D20">
        <v>2914175</v>
      </c>
      <c r="E20" t="s">
        <v>376</v>
      </c>
      <c r="F20">
        <v>10.000000000000005</v>
      </c>
      <c r="G20" t="s">
        <v>374</v>
      </c>
      <c r="H20" t="str">
        <f t="shared" si="0"/>
        <v>{ name: "SERVO BRAKE FLUID DOT 4-20 X 1/2 L", code:"2914175", uom:10},</v>
      </c>
    </row>
    <row r="21" spans="1:8" x14ac:dyDescent="0.3">
      <c r="A21" t="s">
        <v>373</v>
      </c>
      <c r="B21" t="s">
        <v>263</v>
      </c>
      <c r="C21" t="s">
        <v>375</v>
      </c>
      <c r="D21">
        <v>2924229</v>
      </c>
      <c r="E21" t="s">
        <v>376</v>
      </c>
      <c r="F21">
        <v>20</v>
      </c>
      <c r="G21" t="s">
        <v>374</v>
      </c>
      <c r="H21" t="str">
        <f t="shared" si="0"/>
        <v>{ name: "SERVO 4T - 20 X 1 L HDPE PROMO", code:"2924229", uom:20},</v>
      </c>
    </row>
    <row r="22" spans="1:8" x14ac:dyDescent="0.3">
      <c r="A22" t="s">
        <v>373</v>
      </c>
      <c r="B22" t="s">
        <v>134</v>
      </c>
      <c r="C22" t="s">
        <v>375</v>
      </c>
      <c r="D22">
        <v>2927152</v>
      </c>
      <c r="E22" t="s">
        <v>376</v>
      </c>
      <c r="F22">
        <v>18</v>
      </c>
      <c r="G22" t="s">
        <v>374</v>
      </c>
      <c r="H22" t="str">
        <f t="shared" si="0"/>
        <v>{ name: "SERVO HONDA JOSH-20 X 0.9 L", code:"2927152", uom:18},</v>
      </c>
    </row>
    <row r="23" spans="1:8" x14ac:dyDescent="0.3">
      <c r="A23" t="s">
        <v>373</v>
      </c>
      <c r="B23" t="s">
        <v>136</v>
      </c>
      <c r="C23" t="s">
        <v>375</v>
      </c>
      <c r="D23">
        <v>2933156</v>
      </c>
      <c r="E23" t="s">
        <v>376</v>
      </c>
      <c r="F23">
        <v>16</v>
      </c>
      <c r="G23" t="s">
        <v>374</v>
      </c>
      <c r="H23" t="str">
        <f t="shared" si="0"/>
        <v>{ name: "SERVO HONDA SCOOTONXT-20 X 0.8 L", code:"2933156", uom:16},</v>
      </c>
    </row>
    <row r="24" spans="1:8" x14ac:dyDescent="0.3">
      <c r="A24" t="s">
        <v>373</v>
      </c>
      <c r="B24" t="s">
        <v>278</v>
      </c>
      <c r="C24" t="s">
        <v>375</v>
      </c>
      <c r="D24">
        <v>2967111</v>
      </c>
      <c r="E24" t="s">
        <v>376</v>
      </c>
      <c r="F24">
        <v>14</v>
      </c>
      <c r="G24" t="s">
        <v>374</v>
      </c>
      <c r="H24" t="str">
        <f t="shared" si="0"/>
        <v>{ name: "SERVO FUTURA G PLUS 5W-30-4X3.5 L PROMO", code:"2967111", uom:14},</v>
      </c>
    </row>
    <row r="25" spans="1:8" x14ac:dyDescent="0.3">
      <c r="A25" t="s">
        <v>373</v>
      </c>
      <c r="B25" t="s">
        <v>276</v>
      </c>
      <c r="C25" t="s">
        <v>375</v>
      </c>
      <c r="D25">
        <v>2967204</v>
      </c>
      <c r="E25" t="s">
        <v>376</v>
      </c>
      <c r="F25">
        <v>12</v>
      </c>
      <c r="G25" t="s">
        <v>374</v>
      </c>
      <c r="H25" t="str">
        <f t="shared" si="0"/>
        <v>{ name: "SERVO FUTURA G PLUS 5W-30-4 X 3 L PROMO", code:"2967204", uom:12},</v>
      </c>
    </row>
    <row r="26" spans="1:8" x14ac:dyDescent="0.3">
      <c r="A26" t="s">
        <v>373</v>
      </c>
      <c r="B26" t="s">
        <v>114</v>
      </c>
      <c r="C26" t="s">
        <v>375</v>
      </c>
      <c r="D26">
        <v>2968213</v>
      </c>
      <c r="E26" t="s">
        <v>376</v>
      </c>
      <c r="F26">
        <v>14.000000000000004</v>
      </c>
      <c r="G26" t="s">
        <v>374</v>
      </c>
      <c r="H26" t="str">
        <f t="shared" si="0"/>
        <v>{ name: "HY.SERVO ENGINE OIL 5W-30-4x3.5L", code:"2968213", uom:14},</v>
      </c>
    </row>
    <row r="27" spans="1:8" x14ac:dyDescent="0.3">
      <c r="A27" t="s">
        <v>373</v>
      </c>
      <c r="B27" t="s">
        <v>334</v>
      </c>
      <c r="C27" t="s">
        <v>375</v>
      </c>
      <c r="D27">
        <v>3001265</v>
      </c>
      <c r="E27" t="s">
        <v>376</v>
      </c>
      <c r="F27">
        <v>20.000000000000014</v>
      </c>
      <c r="G27" t="s">
        <v>374</v>
      </c>
      <c r="H27" t="str">
        <f t="shared" si="0"/>
        <v>{ name: "SERVOSYSTEM 32-20L BUC", code:"3001265", uom:20},</v>
      </c>
    </row>
    <row r="28" spans="1:8" x14ac:dyDescent="0.3">
      <c r="A28" t="s">
        <v>373</v>
      </c>
      <c r="B28" t="s">
        <v>336</v>
      </c>
      <c r="C28" t="s">
        <v>375</v>
      </c>
      <c r="D28">
        <v>3006234</v>
      </c>
      <c r="E28" t="s">
        <v>376</v>
      </c>
      <c r="F28">
        <v>20.000000000000014</v>
      </c>
      <c r="G28" t="s">
        <v>374</v>
      </c>
      <c r="H28" t="str">
        <f t="shared" si="0"/>
        <v>{ name: "SERVOSYSTEM 68-4x5L - HDPE", code:"3006234", uom:20},</v>
      </c>
    </row>
    <row r="29" spans="1:8" x14ac:dyDescent="0.3">
      <c r="A29" t="s">
        <v>373</v>
      </c>
      <c r="B29" t="s">
        <v>337</v>
      </c>
      <c r="C29" t="s">
        <v>375</v>
      </c>
      <c r="D29">
        <v>3006265</v>
      </c>
      <c r="E29" t="s">
        <v>376</v>
      </c>
      <c r="F29">
        <v>20.000000000000014</v>
      </c>
      <c r="G29" t="s">
        <v>374</v>
      </c>
      <c r="H29" t="str">
        <f t="shared" si="0"/>
        <v>{ name: "SERVOSYSTEM 68-20L BUC", code:"3006265", uom:20},</v>
      </c>
    </row>
    <row r="30" spans="1:8" x14ac:dyDescent="0.3">
      <c r="A30" t="s">
        <v>373</v>
      </c>
      <c r="B30" t="s">
        <v>73</v>
      </c>
      <c r="C30" t="s">
        <v>375</v>
      </c>
      <c r="D30">
        <v>3006401</v>
      </c>
      <c r="E30" t="s">
        <v>376</v>
      </c>
      <c r="F30">
        <v>210</v>
      </c>
      <c r="G30" t="s">
        <v>374</v>
      </c>
      <c r="H30" t="str">
        <f t="shared" si="0"/>
        <v>{ name: "SERVOSYSTEM 68 - 210L BRL", code:"3006401", uom:210},</v>
      </c>
    </row>
    <row r="31" spans="1:8" x14ac:dyDescent="0.3">
      <c r="A31" t="s">
        <v>373</v>
      </c>
      <c r="B31" t="s">
        <v>383</v>
      </c>
      <c r="C31" t="s">
        <v>375</v>
      </c>
      <c r="D31">
        <v>3006403</v>
      </c>
      <c r="E31" t="s">
        <v>376</v>
      </c>
      <c r="F31">
        <v>210</v>
      </c>
      <c r="G31" t="s">
        <v>374</v>
      </c>
      <c r="H31" t="str">
        <f t="shared" si="0"/>
        <v>{ name: "SERVOSYSTEM 68-210 L HD", code:"3006403", uom:210},</v>
      </c>
    </row>
    <row r="32" spans="1:8" x14ac:dyDescent="0.3">
      <c r="A32" t="s">
        <v>373</v>
      </c>
      <c r="B32" t="s">
        <v>341</v>
      </c>
      <c r="C32" t="s">
        <v>375</v>
      </c>
      <c r="D32">
        <v>3040265</v>
      </c>
      <c r="E32" t="s">
        <v>376</v>
      </c>
      <c r="F32">
        <v>20.000000000000014</v>
      </c>
      <c r="G32" t="s">
        <v>374</v>
      </c>
      <c r="H32" t="str">
        <f t="shared" si="0"/>
        <v>{ name: "SERVOHYDRASHAKTI 68-20 L", code:"3040265", uom:20},</v>
      </c>
    </row>
    <row r="33" spans="1:8" x14ac:dyDescent="0.3">
      <c r="A33" t="s">
        <v>373</v>
      </c>
      <c r="B33" t="s">
        <v>81</v>
      </c>
      <c r="C33" t="s">
        <v>375</v>
      </c>
      <c r="D33">
        <v>3084401</v>
      </c>
      <c r="E33" t="s">
        <v>376</v>
      </c>
      <c r="F33">
        <v>210</v>
      </c>
      <c r="G33" t="s">
        <v>374</v>
      </c>
      <c r="H33" t="str">
        <f t="shared" si="0"/>
        <v>{ name: "SERVOSYSTEM HLP 68 - 210L BRL", code:"3084401", uom:210},</v>
      </c>
    </row>
    <row r="34" spans="1:8" x14ac:dyDescent="0.3">
      <c r="A34" t="s">
        <v>373</v>
      </c>
      <c r="B34" t="s">
        <v>213</v>
      </c>
      <c r="C34" t="s">
        <v>375</v>
      </c>
      <c r="D34">
        <v>4906175</v>
      </c>
      <c r="E34" t="s">
        <v>376</v>
      </c>
      <c r="F34">
        <v>10.000000000000005</v>
      </c>
      <c r="G34" t="s">
        <v>374</v>
      </c>
      <c r="H34" t="str">
        <f t="shared" si="0"/>
        <v>{ name: "SERVO TRANSFLUID A-20X1/2 L", code:"4906175", uom:10},</v>
      </c>
    </row>
    <row r="35" spans="1:8" x14ac:dyDescent="0.3">
      <c r="A35" t="s">
        <v>373</v>
      </c>
      <c r="B35" t="s">
        <v>214</v>
      </c>
      <c r="C35" t="s">
        <v>375</v>
      </c>
      <c r="D35">
        <v>4906184</v>
      </c>
      <c r="E35" t="s">
        <v>376</v>
      </c>
      <c r="F35">
        <v>20.000000000000014</v>
      </c>
      <c r="G35" t="s">
        <v>374</v>
      </c>
      <c r="H35" t="str">
        <f t="shared" si="0"/>
        <v>{ name: "SERVO TRANSFLUID A-20X1L-HDPE", code:"4906184", uom:20},</v>
      </c>
    </row>
    <row r="36" spans="1:8" x14ac:dyDescent="0.3">
      <c r="A36" t="s">
        <v>373</v>
      </c>
      <c r="B36" t="s">
        <v>378</v>
      </c>
      <c r="C36" t="s">
        <v>375</v>
      </c>
      <c r="D36">
        <v>7079401</v>
      </c>
      <c r="E36" t="s">
        <v>376</v>
      </c>
      <c r="F36">
        <v>210</v>
      </c>
      <c r="G36" t="s">
        <v>374</v>
      </c>
      <c r="H36" t="str">
        <f t="shared" si="0"/>
        <v>{ name: "ECSTAR PETROL 0W-16 FE-210 L", code:"7079401", uom:210},</v>
      </c>
    </row>
    <row r="37" spans="1:8" x14ac:dyDescent="0.3">
      <c r="A37" t="s">
        <v>373</v>
      </c>
      <c r="B37" t="s">
        <v>116</v>
      </c>
      <c r="C37" t="s">
        <v>375</v>
      </c>
      <c r="D37">
        <v>7205222</v>
      </c>
      <c r="E37" t="s">
        <v>376</v>
      </c>
      <c r="F37">
        <v>16.000000000000011</v>
      </c>
      <c r="G37" t="s">
        <v>374</v>
      </c>
      <c r="H37" t="str">
        <f t="shared" si="0"/>
        <v>{ name: "HYUNDAI SERVO SUPERIOR 0W30-4 X 4 L", code:"7205222", uom:16},</v>
      </c>
    </row>
    <row r="38" spans="1:8" x14ac:dyDescent="0.3">
      <c r="A38" t="s">
        <v>373</v>
      </c>
      <c r="B38" t="s">
        <v>29</v>
      </c>
      <c r="C38" t="s">
        <v>375</v>
      </c>
      <c r="D38">
        <v>7208271</v>
      </c>
      <c r="E38" t="s">
        <v>376</v>
      </c>
      <c r="F38">
        <v>50</v>
      </c>
      <c r="G38" t="s">
        <v>374</v>
      </c>
      <c r="H38" t="str">
        <f t="shared" si="0"/>
        <v>{ name: "SERVO SUPERIOR EO 0W20 SN PLUS-50 L", code:"7208271", uom:50},</v>
      </c>
    </row>
    <row r="39" spans="1:8" x14ac:dyDescent="0.3">
      <c r="A39" t="s">
        <v>373</v>
      </c>
      <c r="B39" t="s">
        <v>112</v>
      </c>
      <c r="C39" t="s">
        <v>375</v>
      </c>
      <c r="D39">
        <v>7209213</v>
      </c>
      <c r="E39" t="s">
        <v>376</v>
      </c>
      <c r="F39">
        <v>14.000000000000004</v>
      </c>
      <c r="G39" t="s">
        <v>374</v>
      </c>
      <c r="H39" t="str">
        <f t="shared" si="0"/>
        <v>{ name: "HY SERVO SYNTH 0W-30 SP/C3-4 X 3.5 L", code:"7209213", uom:14},</v>
      </c>
    </row>
    <row r="40" spans="1:8" x14ac:dyDescent="0.3">
      <c r="A40" t="s">
        <v>373</v>
      </c>
      <c r="B40" t="s">
        <v>381</v>
      </c>
      <c r="C40" t="s">
        <v>375</v>
      </c>
      <c r="D40">
        <v>7211213</v>
      </c>
      <c r="E40" t="s">
        <v>376</v>
      </c>
      <c r="F40">
        <v>14.000000000000004</v>
      </c>
      <c r="G40" t="s">
        <v>374</v>
      </c>
      <c r="H40" t="str">
        <f t="shared" si="0"/>
        <v>{ name: "SERVO GREENMILE-4 X 3.5 L LUBE", code:"7211213", uom:14},</v>
      </c>
    </row>
    <row r="41" spans="1:8" x14ac:dyDescent="0.3">
      <c r="A41" t="s">
        <v>373</v>
      </c>
      <c r="B41" t="s">
        <v>121</v>
      </c>
      <c r="C41" t="s">
        <v>375</v>
      </c>
      <c r="D41">
        <v>7232184</v>
      </c>
      <c r="E41" t="s">
        <v>376</v>
      </c>
      <c r="F41">
        <v>20.000000000000014</v>
      </c>
      <c r="G41" t="s">
        <v>374</v>
      </c>
      <c r="H41" t="str">
        <f t="shared" si="0"/>
        <v>{ name: "HYUNDAI SERVO COOLANT 50-20 X 1 L", code:"7232184", uom:20},</v>
      </c>
    </row>
    <row r="42" spans="1:8" x14ac:dyDescent="0.3">
      <c r="A42" t="s">
        <v>373</v>
      </c>
      <c r="B42" t="s">
        <v>377</v>
      </c>
      <c r="C42" t="s">
        <v>375</v>
      </c>
      <c r="D42">
        <v>7271111</v>
      </c>
      <c r="E42" t="s">
        <v>376</v>
      </c>
      <c r="F42">
        <v>14</v>
      </c>
      <c r="G42" t="s">
        <v>374</v>
      </c>
      <c r="H42" t="str">
        <f t="shared" si="0"/>
        <v>{ name: "SERVO FUTURA NXT 0W-16-4X3.5 L PROMO LUBE", code:"7271111", uom:14},</v>
      </c>
    </row>
    <row r="43" spans="1:8" x14ac:dyDescent="0.3">
      <c r="A43" t="s">
        <v>373</v>
      </c>
      <c r="B43" t="s">
        <v>355</v>
      </c>
      <c r="C43" t="s">
        <v>375</v>
      </c>
      <c r="D43">
        <v>7330242</v>
      </c>
      <c r="E43" t="s">
        <v>376</v>
      </c>
      <c r="F43">
        <v>10.000000000000005</v>
      </c>
      <c r="G43" t="s">
        <v>374</v>
      </c>
      <c r="H43" t="str">
        <f t="shared" si="0"/>
        <v>{ name: "IOC CLEARBLUE-10 L", code:"7330242", uom:10},</v>
      </c>
    </row>
    <row r="44" spans="1:8" x14ac:dyDescent="0.3">
      <c r="A44" t="s">
        <v>373</v>
      </c>
      <c r="B44" t="s">
        <v>356</v>
      </c>
      <c r="C44" t="s">
        <v>375</v>
      </c>
      <c r="D44">
        <v>7330265</v>
      </c>
      <c r="E44" t="s">
        <v>376</v>
      </c>
      <c r="F44">
        <v>20.000000000000014</v>
      </c>
      <c r="G44" t="s">
        <v>374</v>
      </c>
      <c r="H44" t="str">
        <f t="shared" si="0"/>
        <v>{ name: "IOC CLEARBLUE-20 L", code:"7330265", uom:20},</v>
      </c>
    </row>
    <row r="45" spans="1:8" x14ac:dyDescent="0.3">
      <c r="A45" t="s">
        <v>373</v>
      </c>
      <c r="B45" t="s">
        <v>117</v>
      </c>
      <c r="C45" t="s">
        <v>375</v>
      </c>
      <c r="D45">
        <v>7420213</v>
      </c>
      <c r="E45" t="s">
        <v>376</v>
      </c>
      <c r="F45">
        <v>14.000000000000004</v>
      </c>
      <c r="G45" t="s">
        <v>374</v>
      </c>
      <c r="H45" t="str">
        <f t="shared" si="0"/>
        <v>{ name: "HY SERVO PETROL EO SN PLUS-4 X 3.5 L", code:"7420213", uom:14},</v>
      </c>
    </row>
    <row r="46" spans="1:8" x14ac:dyDescent="0.3">
      <c r="A46" t="s">
        <v>373</v>
      </c>
      <c r="B46" t="s">
        <v>103</v>
      </c>
      <c r="C46" t="s">
        <v>375</v>
      </c>
      <c r="D46">
        <v>7427213</v>
      </c>
      <c r="E46" t="s">
        <v>376</v>
      </c>
      <c r="F46">
        <v>14.000000000000004</v>
      </c>
      <c r="G46" t="s">
        <v>374</v>
      </c>
      <c r="H46" t="str">
        <f t="shared" si="0"/>
        <v>{ name: "ECSTAR PETROL 0W-20-4 X 3.5 L", code:"7427213", uom:14},</v>
      </c>
    </row>
    <row r="47" spans="1:8" x14ac:dyDescent="0.3">
      <c r="A47" t="s">
        <v>373</v>
      </c>
      <c r="B47" t="s">
        <v>16</v>
      </c>
      <c r="C47" t="s">
        <v>375</v>
      </c>
      <c r="D47">
        <v>7427401</v>
      </c>
      <c r="E47" t="s">
        <v>376</v>
      </c>
      <c r="F47">
        <v>210</v>
      </c>
      <c r="G47" t="s">
        <v>374</v>
      </c>
      <c r="H47" t="str">
        <f t="shared" si="0"/>
        <v>{ name: "ECSTAR PETROL 0W-20-210 L", code:"7427401", uom:210},</v>
      </c>
    </row>
    <row r="48" spans="1:8" x14ac:dyDescent="0.3">
      <c r="A48" t="s">
        <v>373</v>
      </c>
      <c r="B48" t="s">
        <v>379</v>
      </c>
      <c r="C48" t="s">
        <v>375</v>
      </c>
      <c r="D48">
        <v>7470401</v>
      </c>
      <c r="E48" t="s">
        <v>376</v>
      </c>
      <c r="F48">
        <v>210</v>
      </c>
      <c r="G48" t="s">
        <v>374</v>
      </c>
      <c r="H48" t="str">
        <f t="shared" si="0"/>
        <v>{ name: "S FLEET SUPREME CI4PLUS 15W-40-210 L", code:"7470401", uom:210},</v>
      </c>
    </row>
    <row r="49" spans="1:8" x14ac:dyDescent="0.3">
      <c r="A49" t="s">
        <v>373</v>
      </c>
      <c r="B49" t="s">
        <v>380</v>
      </c>
      <c r="C49" t="s">
        <v>375</v>
      </c>
      <c r="D49">
        <v>7472184</v>
      </c>
      <c r="E49" t="s">
        <v>376</v>
      </c>
      <c r="F49">
        <v>20.000000000000014</v>
      </c>
      <c r="G49" t="s">
        <v>374</v>
      </c>
      <c r="H49" t="str">
        <f t="shared" si="0"/>
        <v>{ name: "SERVO FLEET CF4 15W-40 - 20 X 1 L", code:"7472184", uom:20},</v>
      </c>
    </row>
    <row r="50" spans="1:8" x14ac:dyDescent="0.3">
      <c r="A50" t="s">
        <v>373</v>
      </c>
      <c r="B50" t="s">
        <v>167</v>
      </c>
      <c r="C50" t="s">
        <v>375</v>
      </c>
      <c r="D50">
        <v>7485174</v>
      </c>
      <c r="E50" t="s">
        <v>376</v>
      </c>
      <c r="F50">
        <v>20.000000000000011</v>
      </c>
      <c r="G50" t="s">
        <v>374</v>
      </c>
      <c r="H50" t="str">
        <f t="shared" si="0"/>
        <v>{ name: "SERVO SUPER 20W-40 MG-40X1/2L", code:"7485174", uom:20},</v>
      </c>
    </row>
    <row r="51" spans="1:8" x14ac:dyDescent="0.3">
      <c r="A51" t="s">
        <v>373</v>
      </c>
      <c r="B51" t="s">
        <v>168</v>
      </c>
      <c r="C51" t="s">
        <v>375</v>
      </c>
      <c r="D51">
        <v>7485184</v>
      </c>
      <c r="E51" t="s">
        <v>376</v>
      </c>
      <c r="F51">
        <v>20.000000000000014</v>
      </c>
      <c r="G51" t="s">
        <v>374</v>
      </c>
      <c r="H51" t="str">
        <f t="shared" si="0"/>
        <v>{ name: "SERVO SUPER 20W-40 MG-20 X 1 L", code:"7485184", uom:20},</v>
      </c>
    </row>
    <row r="52" spans="1:8" x14ac:dyDescent="0.3">
      <c r="A52" t="s">
        <v>373</v>
      </c>
      <c r="B52" t="s">
        <v>169</v>
      </c>
      <c r="C52" t="s">
        <v>375</v>
      </c>
      <c r="D52">
        <v>7485234</v>
      </c>
      <c r="E52" t="s">
        <v>376</v>
      </c>
      <c r="F52">
        <v>20.000000000000014</v>
      </c>
      <c r="G52" t="s">
        <v>374</v>
      </c>
      <c r="H52" t="str">
        <f t="shared" si="0"/>
        <v>{ name: "SERVO SUPER 20W-40 MG-4x5L - HDPE", code:"7485234", uom:20},</v>
      </c>
    </row>
    <row r="53" spans="1:8" x14ac:dyDescent="0.3">
      <c r="A53" t="s">
        <v>373</v>
      </c>
      <c r="B53" t="s">
        <v>170</v>
      </c>
      <c r="C53" t="s">
        <v>375</v>
      </c>
      <c r="D53">
        <v>7485242</v>
      </c>
      <c r="E53" t="s">
        <v>376</v>
      </c>
      <c r="F53">
        <v>10.000000000000005</v>
      </c>
      <c r="G53" t="s">
        <v>374</v>
      </c>
      <c r="H53" t="str">
        <f t="shared" si="0"/>
        <v>{ name: "SERVO SUPER 20W-40 MG-10 L", code:"7485242", uom:10},</v>
      </c>
    </row>
    <row r="54" spans="1:8" x14ac:dyDescent="0.3">
      <c r="A54" t="s">
        <v>373</v>
      </c>
      <c r="B54" t="s">
        <v>171</v>
      </c>
      <c r="C54" t="s">
        <v>375</v>
      </c>
      <c r="D54">
        <v>7485251</v>
      </c>
      <c r="E54" t="s">
        <v>376</v>
      </c>
      <c r="F54">
        <v>7.5000000000000053</v>
      </c>
      <c r="G54" t="s">
        <v>374</v>
      </c>
      <c r="H54" t="str">
        <f t="shared" si="0"/>
        <v>{ name: "SERVO SUPER 20W-40 MG-7.5 L", code:"7485251", uom:7.50000000000001},</v>
      </c>
    </row>
    <row r="55" spans="1:8" x14ac:dyDescent="0.3">
      <c r="A55" t="s">
        <v>373</v>
      </c>
      <c r="B55" t="s">
        <v>172</v>
      </c>
      <c r="C55" t="s">
        <v>375</v>
      </c>
      <c r="D55">
        <v>7485265</v>
      </c>
      <c r="E55" t="s">
        <v>376</v>
      </c>
      <c r="F55">
        <v>20.000000000000014</v>
      </c>
      <c r="G55" t="s">
        <v>374</v>
      </c>
      <c r="H55" t="str">
        <f t="shared" si="0"/>
        <v>{ name: "SERVO SUPER 20W-40 MG-20 L", code:"7485265", uom:20},</v>
      </c>
    </row>
    <row r="56" spans="1:8" x14ac:dyDescent="0.3">
      <c r="A56" t="s">
        <v>373</v>
      </c>
      <c r="B56" t="s">
        <v>173</v>
      </c>
      <c r="C56" t="s">
        <v>375</v>
      </c>
      <c r="D56">
        <v>7489184</v>
      </c>
      <c r="E56" t="s">
        <v>376</v>
      </c>
      <c r="F56">
        <v>20.000000000000014</v>
      </c>
      <c r="G56" t="s">
        <v>374</v>
      </c>
      <c r="H56" t="str">
        <f t="shared" si="0"/>
        <v>{ name: "SERVO PRIDE XL PLUS 15W40-20 X 1 L", code:"7489184", uom:20},</v>
      </c>
    </row>
    <row r="57" spans="1:8" x14ac:dyDescent="0.3">
      <c r="A57" t="s">
        <v>373</v>
      </c>
      <c r="B57" t="s">
        <v>175</v>
      </c>
      <c r="C57" t="s">
        <v>375</v>
      </c>
      <c r="D57">
        <v>7489234</v>
      </c>
      <c r="E57" t="s">
        <v>376</v>
      </c>
      <c r="F57">
        <v>20.000000000000014</v>
      </c>
      <c r="G57" t="s">
        <v>374</v>
      </c>
      <c r="H57" t="str">
        <f t="shared" si="0"/>
        <v>{ name: "SERVO PRIDE XL PLUS 15W40-4x5L - HDPE", code:"7489234", uom:20},</v>
      </c>
    </row>
    <row r="58" spans="1:8" x14ac:dyDescent="0.3">
      <c r="A58" t="s">
        <v>373</v>
      </c>
      <c r="B58" t="s">
        <v>178</v>
      </c>
      <c r="C58" t="s">
        <v>375</v>
      </c>
      <c r="D58">
        <v>7489253</v>
      </c>
      <c r="E58" t="s">
        <v>376</v>
      </c>
      <c r="F58">
        <v>15</v>
      </c>
      <c r="G58" t="s">
        <v>374</v>
      </c>
      <c r="H58" t="str">
        <f t="shared" si="0"/>
        <v>{ name: "SERVO PRIDE XL PLUS 15W40-15L PROMO", code:"7489253", uom:15},</v>
      </c>
    </row>
    <row r="59" spans="1:8" x14ac:dyDescent="0.3">
      <c r="A59" t="s">
        <v>373</v>
      </c>
      <c r="B59" t="s">
        <v>179</v>
      </c>
      <c r="C59" t="s">
        <v>375</v>
      </c>
      <c r="D59">
        <v>7489265</v>
      </c>
      <c r="E59" t="s">
        <v>376</v>
      </c>
      <c r="F59">
        <v>20.000000000000014</v>
      </c>
      <c r="G59" t="s">
        <v>374</v>
      </c>
      <c r="H59" t="str">
        <f t="shared" si="0"/>
        <v>{ name: "SERVO PRIDE XL PLUS 15W40-20 L", code:"7489265", uom:20},</v>
      </c>
    </row>
    <row r="60" spans="1:8" x14ac:dyDescent="0.3">
      <c r="A60" t="s">
        <v>373</v>
      </c>
      <c r="B60" t="s">
        <v>216</v>
      </c>
      <c r="C60" t="s">
        <v>375</v>
      </c>
      <c r="D60">
        <v>7511184</v>
      </c>
      <c r="E60" t="s">
        <v>376</v>
      </c>
      <c r="F60">
        <v>20.000000000000014</v>
      </c>
      <c r="G60" t="s">
        <v>374</v>
      </c>
      <c r="H60" t="str">
        <f t="shared" si="0"/>
        <v>{ name: "SERVO GEAR SUPER 80W-90 - 20 X 1 L HDPE", code:"7511184", uom:20},</v>
      </c>
    </row>
    <row r="61" spans="1:8" x14ac:dyDescent="0.3">
      <c r="A61" t="s">
        <v>373</v>
      </c>
      <c r="B61" t="s">
        <v>53</v>
      </c>
      <c r="C61" t="s">
        <v>375</v>
      </c>
      <c r="D61">
        <v>7511401</v>
      </c>
      <c r="E61" t="s">
        <v>376</v>
      </c>
      <c r="F61">
        <v>210</v>
      </c>
      <c r="G61" t="s">
        <v>374</v>
      </c>
      <c r="H61" t="str">
        <f t="shared" si="0"/>
        <v>{ name: "SERVO GEAR SUPER 80W-90 - 210L BRL", code:"7511401", uom:210},</v>
      </c>
    </row>
    <row r="62" spans="1:8" x14ac:dyDescent="0.3">
      <c r="A62" t="s">
        <v>373</v>
      </c>
      <c r="B62" t="s">
        <v>188</v>
      </c>
      <c r="C62" t="s">
        <v>375</v>
      </c>
      <c r="D62">
        <v>7556184</v>
      </c>
      <c r="E62" t="s">
        <v>376</v>
      </c>
      <c r="F62">
        <v>20.000000000000014</v>
      </c>
      <c r="G62" t="s">
        <v>374</v>
      </c>
      <c r="H62" t="str">
        <f t="shared" si="0"/>
        <v>{ name: "SERVO PRIDE TC 15W40 - 20X1L-HDPE", code:"7556184", uom:20},</v>
      </c>
    </row>
    <row r="63" spans="1:8" x14ac:dyDescent="0.3">
      <c r="A63" t="s">
        <v>373</v>
      </c>
      <c r="B63" t="s">
        <v>191</v>
      </c>
      <c r="C63" t="s">
        <v>375</v>
      </c>
      <c r="D63">
        <v>7556234</v>
      </c>
      <c r="E63" t="s">
        <v>376</v>
      </c>
      <c r="F63">
        <v>20.000000000000014</v>
      </c>
      <c r="G63" t="s">
        <v>374</v>
      </c>
      <c r="H63" t="str">
        <f t="shared" si="0"/>
        <v>{ name: "SERVO PRIDE TC 15W-40- 4 X 5L", code:"7556234", uom:20},</v>
      </c>
    </row>
    <row r="64" spans="1:8" x14ac:dyDescent="0.3">
      <c r="A64" t="s">
        <v>373</v>
      </c>
      <c r="B64" t="s">
        <v>192</v>
      </c>
      <c r="C64" t="s">
        <v>375</v>
      </c>
      <c r="D64">
        <v>7556241</v>
      </c>
      <c r="E64" t="s">
        <v>376</v>
      </c>
      <c r="F64">
        <v>10</v>
      </c>
      <c r="G64" t="s">
        <v>374</v>
      </c>
      <c r="H64" t="str">
        <f t="shared" si="0"/>
        <v>{ name: "SERVO PRIDE TC 15W40-10L PROMO", code:"7556241", uom:10},</v>
      </c>
    </row>
    <row r="65" spans="1:8" x14ac:dyDescent="0.3">
      <c r="A65" t="s">
        <v>373</v>
      </c>
      <c r="B65" t="s">
        <v>194</v>
      </c>
      <c r="C65" t="s">
        <v>375</v>
      </c>
      <c r="D65">
        <v>7556250</v>
      </c>
      <c r="E65" t="s">
        <v>376</v>
      </c>
      <c r="F65">
        <v>7.5</v>
      </c>
      <c r="G65" t="s">
        <v>374</v>
      </c>
      <c r="H65" t="str">
        <f t="shared" si="0"/>
        <v>{ name: "SERVO PRIDE TC 15W40-7.5L PROMO", code:"7556250", uom:7.5},</v>
      </c>
    </row>
    <row r="66" spans="1:8" x14ac:dyDescent="0.3">
      <c r="A66" t="s">
        <v>373</v>
      </c>
      <c r="B66" t="s">
        <v>196</v>
      </c>
      <c r="C66" t="s">
        <v>375</v>
      </c>
      <c r="D66">
        <v>7556253</v>
      </c>
      <c r="E66" t="s">
        <v>376</v>
      </c>
      <c r="F66">
        <v>15</v>
      </c>
      <c r="G66" t="s">
        <v>374</v>
      </c>
      <c r="H66" t="str">
        <f t="shared" si="0"/>
        <v>{ name: "SERVO PRIDE TC 15W40-15L PROMO", code:"7556253", uom:15},</v>
      </c>
    </row>
    <row r="67" spans="1:8" x14ac:dyDescent="0.3">
      <c r="A67" t="s">
        <v>373</v>
      </c>
      <c r="B67" t="s">
        <v>198</v>
      </c>
      <c r="C67" t="s">
        <v>375</v>
      </c>
      <c r="D67">
        <v>7577174</v>
      </c>
      <c r="E67" t="s">
        <v>376</v>
      </c>
      <c r="F67">
        <v>20.000000000000011</v>
      </c>
      <c r="G67" t="s">
        <v>374</v>
      </c>
      <c r="H67" t="str">
        <f t="shared" ref="H67:H87" si="1">_xlfn.CONCAT(A67,B67,C67,D67,E67,F67,G67)</f>
        <v>{ name: "SERVO PREMIUM CF-4 15W-40-40X1/2L-HDPE", code:"7577174", uom:20},</v>
      </c>
    </row>
    <row r="68" spans="1:8" x14ac:dyDescent="0.3">
      <c r="A68" t="s">
        <v>373</v>
      </c>
      <c r="B68" t="s">
        <v>199</v>
      </c>
      <c r="C68" t="s">
        <v>375</v>
      </c>
      <c r="D68">
        <v>7577184</v>
      </c>
      <c r="E68" t="s">
        <v>376</v>
      </c>
      <c r="F68">
        <v>20.000000000000014</v>
      </c>
      <c r="G68" t="s">
        <v>374</v>
      </c>
      <c r="H68" t="str">
        <f t="shared" si="1"/>
        <v>{ name: "SERVO PREMIUM CF-4 15W-40-20X1L-HDPE", code:"7577184", uom:20},</v>
      </c>
    </row>
    <row r="69" spans="1:8" x14ac:dyDescent="0.3">
      <c r="A69" t="s">
        <v>373</v>
      </c>
      <c r="B69" t="s">
        <v>201</v>
      </c>
      <c r="C69" t="s">
        <v>375</v>
      </c>
      <c r="D69">
        <v>7577234</v>
      </c>
      <c r="E69" t="s">
        <v>376</v>
      </c>
      <c r="F69">
        <v>20.000000000000014</v>
      </c>
      <c r="G69" t="s">
        <v>374</v>
      </c>
      <c r="H69" t="str">
        <f t="shared" si="1"/>
        <v>{ name: "SERVO PREMIUM CF-4 15W-40-4X5L-HDPE", code:"7577234", uom:20},</v>
      </c>
    </row>
    <row r="70" spans="1:8" x14ac:dyDescent="0.3">
      <c r="A70" t="s">
        <v>373</v>
      </c>
      <c r="B70" t="s">
        <v>382</v>
      </c>
      <c r="C70" t="s">
        <v>375</v>
      </c>
      <c r="D70">
        <v>7577240</v>
      </c>
      <c r="E70" t="s">
        <v>376</v>
      </c>
      <c r="F70">
        <v>20</v>
      </c>
      <c r="G70" t="s">
        <v>374</v>
      </c>
      <c r="H70" t="str">
        <f t="shared" si="1"/>
        <v>{ name: "SERVO PREMIUM CF-4 15W-40-4x5L - PROMO", code:"7577240", uom:20},</v>
      </c>
    </row>
    <row r="71" spans="1:8" x14ac:dyDescent="0.3">
      <c r="A71" t="s">
        <v>373</v>
      </c>
      <c r="B71" t="s">
        <v>204</v>
      </c>
      <c r="C71" t="s">
        <v>375</v>
      </c>
      <c r="D71">
        <v>7577256</v>
      </c>
      <c r="E71" t="s">
        <v>376</v>
      </c>
      <c r="F71">
        <v>15.000000000000009</v>
      </c>
      <c r="G71" t="s">
        <v>374</v>
      </c>
      <c r="H71" t="str">
        <f t="shared" si="1"/>
        <v>{ name: "SERVO PREMIUM CF-4 15W-40-15 L", code:"7577256", uom:15},</v>
      </c>
    </row>
    <row r="72" spans="1:8" x14ac:dyDescent="0.3">
      <c r="A72" t="s">
        <v>373</v>
      </c>
      <c r="B72" t="s">
        <v>47</v>
      </c>
      <c r="C72" t="s">
        <v>375</v>
      </c>
      <c r="D72">
        <v>7577401</v>
      </c>
      <c r="E72" t="s">
        <v>376</v>
      </c>
      <c r="F72">
        <v>210</v>
      </c>
      <c r="G72" t="s">
        <v>374</v>
      </c>
      <c r="H72" t="str">
        <f t="shared" si="1"/>
        <v>{ name: "SERVO PREMIUM CF-4 15W-40 - 210L BRL", code:"7577401", uom:210},</v>
      </c>
    </row>
    <row r="73" spans="1:8" x14ac:dyDescent="0.3">
      <c r="A73" t="s">
        <v>373</v>
      </c>
      <c r="B73" t="s">
        <v>327</v>
      </c>
      <c r="C73" t="s">
        <v>375</v>
      </c>
      <c r="D73">
        <v>7584175</v>
      </c>
      <c r="E73" t="s">
        <v>376</v>
      </c>
      <c r="F73">
        <v>10.000000000000005</v>
      </c>
      <c r="G73" t="s">
        <v>374</v>
      </c>
      <c r="H73" t="str">
        <f t="shared" si="1"/>
        <v>{ name: "SERVO KOOL PLUS-20X1/2L-HDPE", code:"7584175", uom:10},</v>
      </c>
    </row>
    <row r="74" spans="1:8" x14ac:dyDescent="0.3">
      <c r="A74" t="s">
        <v>373</v>
      </c>
      <c r="B74" t="s">
        <v>328</v>
      </c>
      <c r="C74" t="s">
        <v>375</v>
      </c>
      <c r="D74">
        <v>7584184</v>
      </c>
      <c r="E74" t="s">
        <v>376</v>
      </c>
      <c r="F74">
        <v>20.000000000000014</v>
      </c>
      <c r="G74" t="s">
        <v>374</v>
      </c>
      <c r="H74" t="str">
        <f t="shared" si="1"/>
        <v>{ name: "SERVO KOOL PLUS-20X1L-HDPE", code:"7584184", uom:20},</v>
      </c>
    </row>
    <row r="75" spans="1:8" x14ac:dyDescent="0.3">
      <c r="A75" t="s">
        <v>373</v>
      </c>
      <c r="B75" t="s">
        <v>65</v>
      </c>
      <c r="C75" t="s">
        <v>375</v>
      </c>
      <c r="D75">
        <v>7584401</v>
      </c>
      <c r="E75" t="s">
        <v>376</v>
      </c>
      <c r="F75">
        <v>210</v>
      </c>
      <c r="G75" t="s">
        <v>374</v>
      </c>
      <c r="H75" t="str">
        <f t="shared" si="1"/>
        <v>{ name: "SERVO KOOL PLUS -210L BRL", code:"7584401", uom:210},</v>
      </c>
    </row>
    <row r="76" spans="1:8" x14ac:dyDescent="0.3">
      <c r="A76" t="s">
        <v>373</v>
      </c>
      <c r="B76" t="s">
        <v>105</v>
      </c>
      <c r="C76" t="s">
        <v>375</v>
      </c>
      <c r="D76">
        <v>7600184</v>
      </c>
      <c r="E76" t="s">
        <v>376</v>
      </c>
      <c r="F76">
        <v>20.000000000000014</v>
      </c>
      <c r="G76" t="s">
        <v>374</v>
      </c>
      <c r="H76" t="str">
        <f t="shared" si="1"/>
        <v>{ name: "MGO 20W-40 - 20 X 1 L", code:"7600184", uom:20},</v>
      </c>
    </row>
    <row r="77" spans="1:8" x14ac:dyDescent="0.3">
      <c r="A77" t="s">
        <v>373</v>
      </c>
      <c r="B77" t="s">
        <v>106</v>
      </c>
      <c r="C77" t="s">
        <v>375</v>
      </c>
      <c r="D77">
        <v>7600203</v>
      </c>
      <c r="E77" t="s">
        <v>376</v>
      </c>
      <c r="F77">
        <v>12.000000000000005</v>
      </c>
      <c r="G77" t="s">
        <v>374</v>
      </c>
      <c r="H77" t="str">
        <f t="shared" si="1"/>
        <v>{ name: "MGO 20W-40 - 4 X 3 L", code:"7600203", uom:12},</v>
      </c>
    </row>
    <row r="78" spans="1:8" x14ac:dyDescent="0.3">
      <c r="A78" t="s">
        <v>373</v>
      </c>
      <c r="B78" t="s">
        <v>123</v>
      </c>
      <c r="C78" t="s">
        <v>375</v>
      </c>
      <c r="D78">
        <v>7638234</v>
      </c>
      <c r="E78" t="s">
        <v>376</v>
      </c>
      <c r="F78">
        <v>20.000000000000014</v>
      </c>
      <c r="G78" t="s">
        <v>374</v>
      </c>
      <c r="H78" t="str">
        <f t="shared" si="1"/>
        <v>{ name: "HYUNDAI SERVO CRDi PREM.ENG.OIL 4X5L-HDP", code:"7638234", uom:20},</v>
      </c>
    </row>
    <row r="79" spans="1:8" x14ac:dyDescent="0.3">
      <c r="A79" t="s">
        <v>373</v>
      </c>
      <c r="B79" t="s">
        <v>107</v>
      </c>
      <c r="C79" t="s">
        <v>375</v>
      </c>
      <c r="D79">
        <v>7670213</v>
      </c>
      <c r="E79" t="s">
        <v>376</v>
      </c>
      <c r="F79">
        <v>14.000000000000004</v>
      </c>
      <c r="G79" t="s">
        <v>374</v>
      </c>
      <c r="H79" t="str">
        <f t="shared" si="1"/>
        <v>{ name: "MGDO 15W-40 - 4 X 3.5 L", code:"7670213", uom:14},</v>
      </c>
    </row>
    <row r="80" spans="1:8" x14ac:dyDescent="0.3">
      <c r="A80" t="s">
        <v>373</v>
      </c>
      <c r="B80" t="s">
        <v>108</v>
      </c>
      <c r="C80" t="s">
        <v>375</v>
      </c>
      <c r="D80">
        <v>7688203</v>
      </c>
      <c r="E80" t="s">
        <v>376</v>
      </c>
      <c r="F80">
        <v>12.000000000000005</v>
      </c>
      <c r="G80" t="s">
        <v>374</v>
      </c>
      <c r="H80" t="str">
        <f t="shared" si="1"/>
        <v>{ name: "MGO 5W-30-4 X 3 L", code:"7688203", uom:12},</v>
      </c>
    </row>
    <row r="81" spans="1:8" x14ac:dyDescent="0.3">
      <c r="A81" t="s">
        <v>373</v>
      </c>
      <c r="B81" t="s">
        <v>109</v>
      </c>
      <c r="C81" t="s">
        <v>375</v>
      </c>
      <c r="D81">
        <v>7688213</v>
      </c>
      <c r="E81" t="s">
        <v>376</v>
      </c>
      <c r="F81">
        <v>14.000000000000004</v>
      </c>
      <c r="G81" t="s">
        <v>374</v>
      </c>
      <c r="H81" t="str">
        <f t="shared" si="1"/>
        <v>{ name: "MGO 5W-30-4x3.5L HDPE", code:"7688213", uom:14},</v>
      </c>
    </row>
    <row r="82" spans="1:8" x14ac:dyDescent="0.3">
      <c r="A82" t="s">
        <v>373</v>
      </c>
      <c r="B82" t="s">
        <v>293</v>
      </c>
      <c r="C82" t="s">
        <v>375</v>
      </c>
      <c r="D82">
        <v>7705303</v>
      </c>
      <c r="E82" t="s">
        <v>376</v>
      </c>
      <c r="F82">
        <v>9.9999999999999982</v>
      </c>
      <c r="G82" t="s">
        <v>374</v>
      </c>
      <c r="H82" t="str">
        <f t="shared" si="1"/>
        <v>{ name: "SERVO GREASE MP 3 - 20 X 1/2 KG CTN", code:"7705303", uom:10},</v>
      </c>
    </row>
    <row r="83" spans="1:8" x14ac:dyDescent="0.3">
      <c r="A83" t="s">
        <v>373</v>
      </c>
      <c r="B83" t="s">
        <v>294</v>
      </c>
      <c r="C83" t="s">
        <v>375</v>
      </c>
      <c r="D83">
        <v>7705313</v>
      </c>
      <c r="E83" t="s">
        <v>376</v>
      </c>
      <c r="F83">
        <v>10</v>
      </c>
      <c r="G83" t="s">
        <v>374</v>
      </c>
      <c r="H83" t="str">
        <f t="shared" si="1"/>
        <v>{ name: "SERVO GREASE MP 3 - 10 X 1 KG CTN", code:"7705313", uom:10},</v>
      </c>
    </row>
    <row r="84" spans="1:8" x14ac:dyDescent="0.3">
      <c r="A84" t="s">
        <v>373</v>
      </c>
      <c r="B84" t="s">
        <v>296</v>
      </c>
      <c r="C84" t="s">
        <v>375</v>
      </c>
      <c r="D84">
        <v>7705337</v>
      </c>
      <c r="E84" t="s">
        <v>376</v>
      </c>
      <c r="F84">
        <v>11.999999999999998</v>
      </c>
      <c r="G84" t="s">
        <v>374</v>
      </c>
      <c r="H84" t="str">
        <f t="shared" si="1"/>
        <v>{ name: "SERVOGREASE MP 3-4X3 KG", code:"7705337", uom:12},</v>
      </c>
    </row>
    <row r="85" spans="1:8" x14ac:dyDescent="0.3">
      <c r="A85" t="s">
        <v>373</v>
      </c>
      <c r="B85" t="s">
        <v>297</v>
      </c>
      <c r="C85" t="s">
        <v>375</v>
      </c>
      <c r="D85">
        <v>7705339</v>
      </c>
      <c r="E85" t="s">
        <v>376</v>
      </c>
      <c r="F85">
        <v>5</v>
      </c>
      <c r="G85" t="s">
        <v>374</v>
      </c>
      <c r="H85" t="str">
        <f t="shared" si="1"/>
        <v>{ name: "SERVOGREASE MP 3 - 5 KG BUC", code:"7705339", uom:5},</v>
      </c>
    </row>
    <row r="86" spans="1:8" x14ac:dyDescent="0.3">
      <c r="A86" t="s">
        <v>373</v>
      </c>
      <c r="B86" t="s">
        <v>299</v>
      </c>
      <c r="C86" t="s">
        <v>375</v>
      </c>
      <c r="D86">
        <v>7705341</v>
      </c>
      <c r="E86" t="s">
        <v>376</v>
      </c>
      <c r="F86">
        <v>20.000000000000011</v>
      </c>
      <c r="G86" t="s">
        <v>374</v>
      </c>
      <c r="H86" t="str">
        <f t="shared" si="1"/>
        <v>{ name: "SERVOGREASE MP 3 -20 KG BUC", code:"7705341", uom:20},</v>
      </c>
    </row>
    <row r="87" spans="1:8" x14ac:dyDescent="0.3">
      <c r="A87" t="s">
        <v>373</v>
      </c>
      <c r="B87" t="s">
        <v>61</v>
      </c>
      <c r="C87" t="s">
        <v>375</v>
      </c>
      <c r="D87">
        <v>7705451</v>
      </c>
      <c r="E87" t="s">
        <v>376</v>
      </c>
      <c r="F87">
        <v>182</v>
      </c>
      <c r="G87" t="s">
        <v>384</v>
      </c>
      <c r="H87" t="str">
        <f t="shared" si="1"/>
        <v>{ name: "SERVOGREASE MP 3 - 182 KG DRM", code:"7705451", uom:182}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Barrel</vt:lpstr>
      <vt:lpstr>small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2026-01-07T08:15:10Z</dcterms:created>
  <dcterms:modified xsi:type="dcterms:W3CDTF">2026-01-14T12:45:54Z</dcterms:modified>
</cp:coreProperties>
</file>